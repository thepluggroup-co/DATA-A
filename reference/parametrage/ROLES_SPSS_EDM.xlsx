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LES" sheetId="1" state="visible" r:id="rId3"/>
    <sheet name="RECAP" sheetId="2" state="visible" r:id="rId4"/>
  </sheets>
  <definedNames>
    <definedName function="false" hidden="true" localSheetId="0" name="_xlnm._FilterDatabase" vbProcedure="false">ROLES!$A$1:$F$68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<sst xmlns="http://schemas.openxmlformats.org/spreadsheetml/2006/main" count="425" uniqueCount="204">
  <si>
    <t xml:space="preserve">VARIABLE</t>
  </si>
  <si>
    <t xml:space="preserve">LIBELLÉ</t>
  </si>
  <si>
    <t xml:space="preserve">MESURE</t>
  </si>
  <si>
    <t xml:space="preserve">RÔLE (français)</t>
  </si>
  <si>
    <t xml:space="preserve">ROLE (SPSS)</t>
  </si>
  <si>
    <t xml:space="preserve">JUSTIFICATION / UTILISÉE DANS</t>
  </si>
  <si>
    <t xml:space="preserve">NUMFICHE</t>
  </si>
  <si>
    <t xml:space="preserve">N° de fiche</t>
  </si>
  <si>
    <t xml:space="preserve">TEXTE / DATE</t>
  </si>
  <si>
    <t xml:space="preserve">Aucun</t>
  </si>
  <si>
    <t xml:space="preserve">None</t>
  </si>
  <si>
    <t xml:space="preserve">Identifiant de la fiche : sert à retrouver une fiche, pas à l'analyser</t>
  </si>
  <si>
    <t xml:space="preserve">CODEENQU</t>
  </si>
  <si>
    <t xml:space="preserve">Identifiant enquêteur</t>
  </si>
  <si>
    <t xml:space="preserve">Identifiant enquêteur : sert au contrôle terrain, pas à l'analyse de marché</t>
  </si>
  <si>
    <t xml:space="preserve">CODEZONE</t>
  </si>
  <si>
    <t xml:space="preserve">Zone d'étude</t>
  </si>
  <si>
    <t xml:space="preserve">NOMINAL</t>
  </si>
  <si>
    <t xml:space="preserve">Entrée</t>
  </si>
  <si>
    <t xml:space="preserve">Input</t>
  </si>
  <si>
    <t xml:space="preserve">Strate d'échantillonnage et variable de croisement par ville — utilisée dans A03, A04, A08, A15, A16, A24</t>
  </si>
  <si>
    <t xml:space="preserve">QUARTIER</t>
  </si>
  <si>
    <t xml:space="preserve">Quartier / zone</t>
  </si>
  <si>
    <t xml:space="preserve">Texte libre de localisation : non analysable tel quel</t>
  </si>
  <si>
    <t xml:space="preserve">SITEENQU</t>
  </si>
  <si>
    <t xml:space="preserve">Site précis / repère</t>
  </si>
  <si>
    <t xml:space="preserve">DATEENQU</t>
  </si>
  <si>
    <t xml:space="preserve">Date de l'enquête</t>
  </si>
  <si>
    <t xml:space="preserve">Horodatage technique : sert au suivi par jour, pas à l'analyse</t>
  </si>
  <si>
    <t xml:space="preserve">HEUREENQ</t>
  </si>
  <si>
    <t xml:space="preserve">Heure de soumission</t>
  </si>
  <si>
    <t xml:space="preserve">Horodatage technique : sert au suivi, pas à l'analyse</t>
  </si>
  <si>
    <t xml:space="preserve">DELAIPRE</t>
  </si>
  <si>
    <t xml:space="preserve">Minutes depuis la fiche précédente du même enquêteur</t>
  </si>
  <si>
    <t xml:space="preserve">SCALE</t>
  </si>
  <si>
    <t xml:space="preserve">Contrôle qualité (délai entre fiches) : hors analyse de marché</t>
  </si>
  <si>
    <t xml:space="preserve">ACCRECON</t>
  </si>
  <si>
    <t xml:space="preserve">Accepte d'être recontacté à des fins commerciales</t>
  </si>
  <si>
    <t xml:space="preserve">Consentement de recontact : sert à filtrer la base de recontact, pas à l'analyse</t>
  </si>
  <si>
    <t xml:space="preserve">VOUSETES</t>
  </si>
  <si>
    <t xml:space="preserve">Q1. Vous êtes</t>
  </si>
  <si>
    <t xml:space="preserve">Variable de croisement principale (cible : particulier, entreprise, électricien…) — utilisée dans A01, A05, A06, A07, A09, A11, A12, A15, A16, A17, A18, A20, A23</t>
  </si>
  <si>
    <t xml:space="preserve">SEXMAFEM</t>
  </si>
  <si>
    <t xml:space="preserve">Q2. Genre</t>
  </si>
  <si>
    <t xml:space="preserve">Variable d'analyse — utilisée dans A01, A14</t>
  </si>
  <si>
    <t xml:space="preserve">AGEREPON</t>
  </si>
  <si>
    <t xml:space="preserve">Q3. Âge</t>
  </si>
  <si>
    <t xml:space="preserve">ORDINAL</t>
  </si>
  <si>
    <t xml:space="preserve">Variable d'analyse — utilisée dans A01, A10, A15, A16, A18, A20</t>
  </si>
  <si>
    <t xml:space="preserve">VILLEREG</t>
  </si>
  <si>
    <t xml:space="preserve">Q4. Ville / région</t>
  </si>
  <si>
    <t xml:space="preserve">Variable d'analyse — utilisée dans A01</t>
  </si>
  <si>
    <t xml:space="preserve">REVMENME</t>
  </si>
  <si>
    <t xml:space="preserve">Q5. Revenu mensuel du ménage (FCFA)</t>
  </si>
  <si>
    <t xml:space="preserve">Variable d'analyse — utilisée dans A01, A15, A16</t>
  </si>
  <si>
    <t xml:space="preserve">FREQACHA</t>
  </si>
  <si>
    <t xml:space="preserve">Q6. Fréquence d'achat</t>
  </si>
  <si>
    <t xml:space="preserve">Variable d'analyse — utilisée dans A02</t>
  </si>
  <si>
    <t xml:space="preserve">LIEACHPR</t>
  </si>
  <si>
    <t xml:space="preserve">Q7. Lieu d'achat principal</t>
  </si>
  <si>
    <t xml:space="preserve">Variable d'analyse — utilisée dans A02, A18, A20</t>
  </si>
  <si>
    <t xml:space="preserve">MONMOYAC</t>
  </si>
  <si>
    <t xml:space="preserve">Q8. Montant moyen par achat (FCFA)</t>
  </si>
  <si>
    <t xml:space="preserve">PRACCABL</t>
  </si>
  <si>
    <t xml:space="preserve">Q9. Produits achetés - Câbles/fils</t>
  </si>
  <si>
    <t xml:space="preserve">Variable d'analyse — utilisée dans A03</t>
  </si>
  <si>
    <t xml:space="preserve">PRACAPPA</t>
  </si>
  <si>
    <t xml:space="preserve">Q9. Produits achetés - Appareillage/disjoncteurs</t>
  </si>
  <si>
    <t xml:space="preserve">PRACPRIS</t>
  </si>
  <si>
    <t xml:space="preserve">Q9. Produits achetés - Prises/interrupteurs</t>
  </si>
  <si>
    <t xml:space="preserve">PRACLUMI</t>
  </si>
  <si>
    <t xml:space="preserve">Q9. Produits achetés - Luminaires</t>
  </si>
  <si>
    <t xml:space="preserve">PRACSOLA</t>
  </si>
  <si>
    <t xml:space="preserve">Q9. Produits achetés - Solaire/onduleurs</t>
  </si>
  <si>
    <t xml:space="preserve">Variable d'analyse — utilisée dans A03, A15</t>
  </si>
  <si>
    <t xml:space="preserve">PRACGROU</t>
  </si>
  <si>
    <t xml:space="preserve">Q9. Produits achetés - Groupes électrogènes</t>
  </si>
  <si>
    <t xml:space="preserve">PAIEPRIV</t>
  </si>
  <si>
    <t xml:space="preserve">Q10. Paiement privilégié</t>
  </si>
  <si>
    <t xml:space="preserve">IMPOMARQ</t>
  </si>
  <si>
    <t xml:space="preserve">Q11. Importance de la marque</t>
  </si>
  <si>
    <t xml:space="preserve">Cible</t>
  </si>
  <si>
    <t xml:space="preserve">Target</t>
  </si>
  <si>
    <t xml:space="preserve">Variable à expliquer de la régression A15 (importance accordée à la marque)</t>
  </si>
  <si>
    <t xml:space="preserve">MAACPLSO</t>
  </si>
  <si>
    <t xml:space="preserve">Q12. Marque achetée le plus souvent</t>
  </si>
  <si>
    <t xml:space="preserve">Variable d'analyse — utilisée dans A04, A05, A17</t>
  </si>
  <si>
    <t xml:space="preserve">MAACAUTR</t>
  </si>
  <si>
    <t xml:space="preserve">Q12. Marque achetée le plus souvent - Autre (précisez)</t>
  </si>
  <si>
    <t xml:space="preserve">Précision en texte libre (marque « Autre ») : codification thématique à part</t>
  </si>
  <si>
    <t xml:space="preserve">PRCRICHO</t>
  </si>
  <si>
    <t xml:space="preserve">Q13. Principal critère de choix</t>
  </si>
  <si>
    <t xml:space="preserve">Variable d'analyse — pas encore dans le plan d'analyses</t>
  </si>
  <si>
    <t xml:space="preserve">ORIGPRIV</t>
  </si>
  <si>
    <t xml:space="preserve">Q14. Origine privilégiée</t>
  </si>
  <si>
    <t xml:space="preserve">Variable d'analyse — utilisée dans A07, A18, A20</t>
  </si>
  <si>
    <t xml:space="preserve">MEQUAFIA</t>
  </si>
  <si>
    <t xml:space="preserve">Q15. Meilleure qualité/fiabilité selon vous</t>
  </si>
  <si>
    <t xml:space="preserve">Variable d'analyse — utilisée dans A13</t>
  </si>
  <si>
    <t xml:space="preserve">MEILPRIX</t>
  </si>
  <si>
    <t xml:space="preserve">Q16. Meilleur prix selon vous</t>
  </si>
  <si>
    <t xml:space="preserve">ORINFACH</t>
  </si>
  <si>
    <t xml:space="preserve">Q17. L'origine influence votre achat</t>
  </si>
  <si>
    <t xml:space="preserve">Variable d'analyse — utilisée dans A11, A19</t>
  </si>
  <si>
    <t xml:space="preserve">GAACPLSO</t>
  </si>
  <si>
    <t xml:space="preserve">Q18. Gamme achetée le plus souvent</t>
  </si>
  <si>
    <t xml:space="preserve">Variable d'analyse — utilisée dans A06, A18, A20</t>
  </si>
  <si>
    <t xml:space="preserve">DEAVHAGA</t>
  </si>
  <si>
    <t xml:space="preserve">Q19. Pour vous, ce qui définit AVANT TOUT un produit HAUT DE GAMME</t>
  </si>
  <si>
    <t xml:space="preserve">Variable d'analyse — utilisée dans A21, A23</t>
  </si>
  <si>
    <t xml:space="preserve">CAAVBAGA</t>
  </si>
  <si>
    <t xml:space="preserve">Q20. Pour vous, ce qui caractérise AVANT TOUT un produit BAS DE GAMME</t>
  </si>
  <si>
    <t xml:space="preserve">ORASHAGA</t>
  </si>
  <si>
    <t xml:space="preserve">Q21. À quelle origine associez-vous spontanément le HAUT DE GAMME ?</t>
  </si>
  <si>
    <t xml:space="preserve">Variable d'analyse — utilisée dans A21, A24</t>
  </si>
  <si>
    <t xml:space="preserve">ORASBAGA</t>
  </si>
  <si>
    <t xml:space="preserve">Q22. À quelle origine associez-vous spontanément le BAS DE GAMME ?</t>
  </si>
  <si>
    <t xml:space="preserve">PXHAUTGA</t>
  </si>
  <si>
    <t xml:space="preserve">Q23. Pour un article courant (ex. disjoncteur), à quelle fourchette de prix associez-vous chaque gamme - Haut de gamme</t>
  </si>
  <si>
    <t xml:space="preserve">Variable d'analyse — utilisée dans A22</t>
  </si>
  <si>
    <t xml:space="preserve">PXMOYEGA</t>
  </si>
  <si>
    <t xml:space="preserve">Q23. Pour un article courant (ex. disjoncteur), à quelle fourchette de prix associez-vous chaque gamme - Moyenne gamme</t>
  </si>
  <si>
    <t xml:space="preserve">PXBASGAM</t>
  </si>
  <si>
    <t xml:space="preserve">Q23. Pour un article courant (ex. disjoncteur), à quelle fourchette de prix associez-vous chaque gamme - Bas de gamme</t>
  </si>
  <si>
    <t xml:space="preserve">ECQUHABA</t>
  </si>
  <si>
    <t xml:space="preserve">Q24. Selon vous, l'écart de qualité entre le haut et le bas de gamme est</t>
  </si>
  <si>
    <t xml:space="preserve">Variable d'analyse — utilisée dans A21</t>
  </si>
  <si>
    <t xml:space="preserve">PRIOPRIN</t>
  </si>
  <si>
    <t xml:space="preserve">Q25. Priorité principale</t>
  </si>
  <si>
    <t xml:space="preserve">Variable d'analyse — utilisée dans A18, A20</t>
  </si>
  <si>
    <t xml:space="preserve">SUACMOGA</t>
  </si>
  <si>
    <t xml:space="preserve">Q26. Surcoût accepté pour monter en gamme</t>
  </si>
  <si>
    <t xml:space="preserve">Variable d'analyse — utilisée dans A13, A19</t>
  </si>
  <si>
    <t xml:space="preserve">PRINFREI</t>
  </si>
  <si>
    <t xml:space="preserve">Q27. Principal frein</t>
  </si>
  <si>
    <t xml:space="preserve">Variable d'analyse — utilisée dans A08</t>
  </si>
  <si>
    <t xml:space="preserve">CRACPRCO</t>
  </si>
  <si>
    <t xml:space="preserve">Q28. Crainte d'acheter un produit contrefait/non conforme</t>
  </si>
  <si>
    <t xml:space="preserve">DEJDECAC</t>
  </si>
  <si>
    <t xml:space="preserve">Q29. Déjà déçu par un achat</t>
  </si>
  <si>
    <t xml:space="preserve">IMSECSAV</t>
  </si>
  <si>
    <t xml:space="preserve">Q30. Importance du service client et du SAV</t>
  </si>
  <si>
    <t xml:space="preserve">SEATPRIO</t>
  </si>
  <si>
    <t xml:space="preserve">Q31. Service attendu en priorité</t>
  </si>
  <si>
    <t xml:space="preserve">DUGAJUAC</t>
  </si>
  <si>
    <t xml:space="preserve">Q32. Durée de garantie jugée acceptable</t>
  </si>
  <si>
    <t xml:space="preserve">CACOPREF</t>
  </si>
  <si>
    <t xml:space="preserve">Q33. Canal de contact préféré</t>
  </si>
  <si>
    <t xml:space="preserve">BOSAPACH</t>
  </si>
  <si>
    <t xml:space="preserve">Q34. Un bon SAV/service vous ferait payer plus cher</t>
  </si>
  <si>
    <t xml:space="preserve">CANAPREF</t>
  </si>
  <si>
    <t xml:space="preserve">Q35. Canal préféré</t>
  </si>
  <si>
    <t xml:space="preserve">Variable d'analyse — utilisée dans A09, A18, A20</t>
  </si>
  <si>
    <t xml:space="preserve">CRCHCANA</t>
  </si>
  <si>
    <t xml:space="preserve">Q36. Critère de choix du canal</t>
  </si>
  <si>
    <t xml:space="preserve">DEJACHLI</t>
  </si>
  <si>
    <t xml:space="preserve">Q37. Déjà acheté en ligne</t>
  </si>
  <si>
    <t xml:space="preserve">Variable d'analyse — utilisée dans A14, A16</t>
  </si>
  <si>
    <t xml:space="preserve">PRETACLI</t>
  </si>
  <si>
    <t xml:space="preserve">Q38. Prêt à acheter en ligne</t>
  </si>
  <si>
    <t xml:space="preserve">Variable à expliquer de la régression logistique A16 (prêt à acheter en ligne)</t>
  </si>
  <si>
    <t xml:space="preserve">PRFRACLI</t>
  </si>
  <si>
    <t xml:space="preserve">Q39. Principal frein à l'achat en ligne</t>
  </si>
  <si>
    <t xml:space="preserve">FIMEFOUR</t>
  </si>
  <si>
    <t xml:space="preserve">Q40. Fidèle à un même fournisseur</t>
  </si>
  <si>
    <t xml:space="preserve">Variable d'analyse — utilisée dans A19</t>
  </si>
  <si>
    <t xml:space="preserve">RFIDPRIX</t>
  </si>
  <si>
    <t xml:space="preserve">Q41. Ce qui renforcerait votre fidélité - Prix/promotions</t>
  </si>
  <si>
    <t xml:space="preserve">Variable d'analyse — utilisée dans A12</t>
  </si>
  <si>
    <t xml:space="preserve">RFIDQUAL</t>
  </si>
  <si>
    <t xml:space="preserve">Q41. Ce qui renforcerait votre fidélité - Qualité constante</t>
  </si>
  <si>
    <t xml:space="preserve">RFIDSTOC</t>
  </si>
  <si>
    <t xml:space="preserve">Q41. Ce qui renforcerait votre fidélité - Disponibilité du stock</t>
  </si>
  <si>
    <t xml:space="preserve">RFIDCONS</t>
  </si>
  <si>
    <t xml:space="preserve">Q41. Ce qui renforcerait votre fidélité - Bon conseil</t>
  </si>
  <si>
    <t xml:space="preserve">RFIDSAVF</t>
  </si>
  <si>
    <t xml:space="preserve">Q41. Ce qui renforcerait votre fidélité - SAV fiable</t>
  </si>
  <si>
    <t xml:space="preserve">RFIDPROG</t>
  </si>
  <si>
    <t xml:space="preserve">Q41. Ce qui renforcerait votre fidélité - Programme de fidélité</t>
  </si>
  <si>
    <t xml:space="preserve">RFIDPAIE</t>
  </si>
  <si>
    <t xml:space="preserve">Q41. Ce qui renforcerait votre fidélité - Facilités de paiement</t>
  </si>
  <si>
    <t xml:space="preserve">SUGGATTE</t>
  </si>
  <si>
    <t xml:space="preserve">Q42. Une suggestion / attente (facultatif)</t>
  </si>
  <si>
    <t xml:space="preserve">Question ouverte (Q42) : codification thématique à faire séparément</t>
  </si>
  <si>
    <t xml:space="preserve">ANOMALIE</t>
  </si>
  <si>
    <t xml:space="preserve">Anomalies détectées automatiquement</t>
  </si>
  <si>
    <t xml:space="preserve">Contrôle qualité automatique : hors analyse de marché</t>
  </si>
  <si>
    <t xml:space="preserve">STATUTQC</t>
  </si>
  <si>
    <t xml:space="preserve">Statut contrôle qualité</t>
  </si>
  <si>
    <t xml:space="preserve">Statut du contrôle qualité : hors analyse de marché</t>
  </si>
  <si>
    <t xml:space="preserve">RÔLE SPSS</t>
  </si>
  <si>
    <t xml:space="preserve">NOMBRE DE VARIABLES</t>
  </si>
  <si>
    <t xml:space="preserve">QUAND L'UTILISER</t>
  </si>
  <si>
    <t xml:space="preserve">Variable explicative ou d'analyse (croisements, tris à plat, prédicteurs)</t>
  </si>
  <si>
    <t xml:space="preserve">Variable à expliquer (régression, régression logistique)</t>
  </si>
  <si>
    <t xml:space="preserve">Both</t>
  </si>
  <si>
    <t xml:space="preserve">Variable à la fois explicative et à expliquer : aucune retenue ici</t>
  </si>
  <si>
    <t xml:space="preserve">Identifiants, textes libres, contrôle qualité : hors analyse</t>
  </si>
  <si>
    <t xml:space="preserve">Partition</t>
  </si>
  <si>
    <t xml:space="preserve">Échantillon d'apprentissage / test : aucun besoin dans ce projet</t>
  </si>
  <si>
    <t xml:space="preserve">Split</t>
  </si>
  <si>
    <t xml:space="preserve">Compatibilité Modeler uniquement : SPSS Statistics ne s'en sert pas pour scinder le fichier</t>
  </si>
  <si>
    <t xml:space="preserve">TOTAL</t>
  </si>
  <si>
    <t xml:space="preserve">Doit égaler le nombre de variables du dictionnaire (67)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</si>
</sst>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FFE699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52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70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s">
        <v>6</v>
      </c>
      <c r="B2" s="3" t="s">
        <v>7</v>
      </c>
      <c r="C2" s="3" t="s">
        <v>8</v>
      </c>
      <c r="D2" s="4" t="s">
        <v>9</v>
      </c>
      <c r="E2" s="4" t="s">
        <v>10</v>
      </c>
      <c r="F2" s="3" t="s">
        <v>11</v>
      </c>
    </row>
    <row r="3" customFormat="false" ht="15" hidden="false" customHeight="true" outlineLevel="0" collapsed="false">
      <c r="A3" s="3" t="s">
        <v>12</v>
      </c>
      <c r="B3" s="3" t="s">
        <v>13</v>
      </c>
      <c r="C3" s="3" t="s">
        <v>8</v>
      </c>
      <c r="D3" s="4" t="s">
        <v>9</v>
      </c>
      <c r="E3" s="4" t="s">
        <v>10</v>
      </c>
      <c r="F3" s="3" t="s">
        <v>14</v>
      </c>
    </row>
    <row r="4" customFormat="false" ht="23.25" hidden="false" customHeight="true" outlineLevel="0" collapsed="false">
      <c r="A4" s="3" t="s">
        <v>15</v>
      </c>
      <c r="B4" s="3" t="s">
        <v>16</v>
      </c>
      <c r="C4" s="3" t="s">
        <v>17</v>
      </c>
      <c r="D4" s="5" t="s">
        <v>18</v>
      </c>
      <c r="E4" s="5" t="s">
        <v>19</v>
      </c>
      <c r="F4" s="3" t="s">
        <v>20</v>
      </c>
    </row>
    <row r="5" customFormat="false" ht="15" hidden="false" customHeight="true" outlineLevel="0" collapsed="false">
      <c r="A5" s="3" t="s">
        <v>21</v>
      </c>
      <c r="B5" s="3" t="s">
        <v>22</v>
      </c>
      <c r="C5" s="3" t="s">
        <v>8</v>
      </c>
      <c r="D5" s="4" t="s">
        <v>9</v>
      </c>
      <c r="E5" s="4" t="s">
        <v>10</v>
      </c>
      <c r="F5" s="3" t="s">
        <v>23</v>
      </c>
    </row>
    <row r="6" customFormat="false" ht="15" hidden="false" customHeight="true" outlineLevel="0" collapsed="false">
      <c r="A6" s="3" t="s">
        <v>24</v>
      </c>
      <c r="B6" s="3" t="s">
        <v>25</v>
      </c>
      <c r="C6" s="3" t="s">
        <v>8</v>
      </c>
      <c r="D6" s="4" t="s">
        <v>9</v>
      </c>
      <c r="E6" s="4" t="s">
        <v>10</v>
      </c>
      <c r="F6" s="3" t="s">
        <v>23</v>
      </c>
    </row>
    <row r="7" customFormat="false" ht="15" hidden="false" customHeight="true" outlineLevel="0" collapsed="false">
      <c r="A7" s="3" t="s">
        <v>26</v>
      </c>
      <c r="B7" s="3" t="s">
        <v>27</v>
      </c>
      <c r="C7" s="3" t="s">
        <v>8</v>
      </c>
      <c r="D7" s="4" t="s">
        <v>9</v>
      </c>
      <c r="E7" s="4" t="s">
        <v>10</v>
      </c>
      <c r="F7" s="3" t="s">
        <v>28</v>
      </c>
    </row>
    <row r="8" customFormat="false" ht="15" hidden="false" customHeight="true" outlineLevel="0" collapsed="false">
      <c r="A8" s="3" t="s">
        <v>29</v>
      </c>
      <c r="B8" s="3" t="s">
        <v>30</v>
      </c>
      <c r="C8" s="3" t="s">
        <v>8</v>
      </c>
      <c r="D8" s="4" t="s">
        <v>9</v>
      </c>
      <c r="E8" s="4" t="s">
        <v>10</v>
      </c>
      <c r="F8" s="3" t="s">
        <v>31</v>
      </c>
    </row>
    <row r="9" customFormat="false" ht="15" hidden="false" customHeight="true" outlineLevel="0" collapsed="false">
      <c r="A9" s="3" t="s">
        <v>32</v>
      </c>
      <c r="B9" s="3" t="s">
        <v>33</v>
      </c>
      <c r="C9" s="3" t="s">
        <v>34</v>
      </c>
      <c r="D9" s="4" t="s">
        <v>9</v>
      </c>
      <c r="E9" s="4" t="s">
        <v>10</v>
      </c>
      <c r="F9" s="3" t="s">
        <v>35</v>
      </c>
    </row>
    <row r="10" customFormat="false" ht="15" hidden="false" customHeight="true" outlineLevel="0" collapsed="false">
      <c r="A10" s="3" t="s">
        <v>36</v>
      </c>
      <c r="B10" s="3" t="s">
        <v>37</v>
      </c>
      <c r="C10" s="3" t="s">
        <v>17</v>
      </c>
      <c r="D10" s="4" t="s">
        <v>9</v>
      </c>
      <c r="E10" s="4" t="s">
        <v>10</v>
      </c>
      <c r="F10" s="3" t="s">
        <v>38</v>
      </c>
    </row>
    <row r="11" customFormat="false" ht="23.25" hidden="false" customHeight="true" outlineLevel="0" collapsed="false">
      <c r="A11" s="3" t="s">
        <v>39</v>
      </c>
      <c r="B11" s="3" t="s">
        <v>40</v>
      </c>
      <c r="C11" s="3" t="s">
        <v>17</v>
      </c>
      <c r="D11" s="5" t="s">
        <v>18</v>
      </c>
      <c r="E11" s="5" t="s">
        <v>19</v>
      </c>
      <c r="F11" s="3" t="s">
        <v>41</v>
      </c>
    </row>
    <row r="12" customFormat="false" ht="15" hidden="false" customHeight="true" outlineLevel="0" collapsed="false">
      <c r="A12" s="3" t="s">
        <v>42</v>
      </c>
      <c r="B12" s="3" t="s">
        <v>43</v>
      </c>
      <c r="C12" s="3" t="s">
        <v>17</v>
      </c>
      <c r="D12" s="5" t="s">
        <v>18</v>
      </c>
      <c r="E12" s="5" t="s">
        <v>19</v>
      </c>
      <c r="F12" s="3" t="s">
        <v>44</v>
      </c>
    </row>
    <row r="13" customFormat="false" ht="15" hidden="false" customHeight="true" outlineLevel="0" collapsed="false">
      <c r="A13" s="3" t="s">
        <v>45</v>
      </c>
      <c r="B13" s="3" t="s">
        <v>46</v>
      </c>
      <c r="C13" s="3" t="s">
        <v>47</v>
      </c>
      <c r="D13" s="5" t="s">
        <v>18</v>
      </c>
      <c r="E13" s="5" t="s">
        <v>19</v>
      </c>
      <c r="F13" s="3" t="s">
        <v>48</v>
      </c>
    </row>
    <row r="14" customFormat="false" ht="15" hidden="false" customHeight="true" outlineLevel="0" collapsed="false">
      <c r="A14" s="3" t="s">
        <v>49</v>
      </c>
      <c r="B14" s="3" t="s">
        <v>50</v>
      </c>
      <c r="C14" s="3" t="s">
        <v>17</v>
      </c>
      <c r="D14" s="5" t="s">
        <v>18</v>
      </c>
      <c r="E14" s="5" t="s">
        <v>19</v>
      </c>
      <c r="F14" s="3" t="s">
        <v>51</v>
      </c>
    </row>
    <row r="15" customFormat="false" ht="15" hidden="false" customHeight="true" outlineLevel="0" collapsed="false">
      <c r="A15" s="3" t="s">
        <v>52</v>
      </c>
      <c r="B15" s="3" t="s">
        <v>53</v>
      </c>
      <c r="C15" s="3" t="s">
        <v>47</v>
      </c>
      <c r="D15" s="5" t="s">
        <v>18</v>
      </c>
      <c r="E15" s="5" t="s">
        <v>19</v>
      </c>
      <c r="F15" s="3" t="s">
        <v>54</v>
      </c>
    </row>
    <row r="16" customFormat="false" ht="15" hidden="false" customHeight="true" outlineLevel="0" collapsed="false">
      <c r="A16" s="3" t="s">
        <v>55</v>
      </c>
      <c r="B16" s="3" t="s">
        <v>56</v>
      </c>
      <c r="C16" s="3" t="s">
        <v>47</v>
      </c>
      <c r="D16" s="5" t="s">
        <v>18</v>
      </c>
      <c r="E16" s="5" t="s">
        <v>19</v>
      </c>
      <c r="F16" s="3" t="s">
        <v>57</v>
      </c>
    </row>
    <row r="17" customFormat="false" ht="15" hidden="false" customHeight="true" outlineLevel="0" collapsed="false">
      <c r="A17" s="3" t="s">
        <v>58</v>
      </c>
      <c r="B17" s="3" t="s">
        <v>59</v>
      </c>
      <c r="C17" s="3" t="s">
        <v>17</v>
      </c>
      <c r="D17" s="5" t="s">
        <v>18</v>
      </c>
      <c r="E17" s="5" t="s">
        <v>19</v>
      </c>
      <c r="F17" s="3" t="s">
        <v>60</v>
      </c>
    </row>
    <row r="18" customFormat="false" ht="15" hidden="false" customHeight="true" outlineLevel="0" collapsed="false">
      <c r="A18" s="3" t="s">
        <v>61</v>
      </c>
      <c r="B18" s="3" t="s">
        <v>62</v>
      </c>
      <c r="C18" s="3" t="s">
        <v>47</v>
      </c>
      <c r="D18" s="5" t="s">
        <v>18</v>
      </c>
      <c r="E18" s="5" t="s">
        <v>19</v>
      </c>
      <c r="F18" s="3" t="s">
        <v>57</v>
      </c>
    </row>
    <row r="19" customFormat="false" ht="15" hidden="false" customHeight="true" outlineLevel="0" collapsed="false">
      <c r="A19" s="3" t="s">
        <v>63</v>
      </c>
      <c r="B19" s="3" t="s">
        <v>64</v>
      </c>
      <c r="C19" s="3" t="s">
        <v>17</v>
      </c>
      <c r="D19" s="5" t="s">
        <v>18</v>
      </c>
      <c r="E19" s="5" t="s">
        <v>19</v>
      </c>
      <c r="F19" s="3" t="s">
        <v>65</v>
      </c>
    </row>
    <row r="20" customFormat="false" ht="15" hidden="false" customHeight="true" outlineLevel="0" collapsed="false">
      <c r="A20" s="3" t="s">
        <v>66</v>
      </c>
      <c r="B20" s="3" t="s">
        <v>67</v>
      </c>
      <c r="C20" s="3" t="s">
        <v>17</v>
      </c>
      <c r="D20" s="5" t="s">
        <v>18</v>
      </c>
      <c r="E20" s="5" t="s">
        <v>19</v>
      </c>
      <c r="F20" s="3" t="s">
        <v>65</v>
      </c>
    </row>
    <row r="21" customFormat="false" ht="15" hidden="false" customHeight="true" outlineLevel="0" collapsed="false">
      <c r="A21" s="3" t="s">
        <v>68</v>
      </c>
      <c r="B21" s="3" t="s">
        <v>69</v>
      </c>
      <c r="C21" s="3" t="s">
        <v>17</v>
      </c>
      <c r="D21" s="5" t="s">
        <v>18</v>
      </c>
      <c r="E21" s="5" t="s">
        <v>19</v>
      </c>
      <c r="F21" s="3" t="s">
        <v>65</v>
      </c>
    </row>
    <row r="22" customFormat="false" ht="15" hidden="false" customHeight="true" outlineLevel="0" collapsed="false">
      <c r="A22" s="3" t="s">
        <v>70</v>
      </c>
      <c r="B22" s="3" t="s">
        <v>71</v>
      </c>
      <c r="C22" s="3" t="s">
        <v>17</v>
      </c>
      <c r="D22" s="5" t="s">
        <v>18</v>
      </c>
      <c r="E22" s="5" t="s">
        <v>19</v>
      </c>
      <c r="F22" s="3" t="s">
        <v>65</v>
      </c>
    </row>
    <row r="23" customFormat="false" ht="15" hidden="false" customHeight="true" outlineLevel="0" collapsed="false">
      <c r="A23" s="3" t="s">
        <v>72</v>
      </c>
      <c r="B23" s="3" t="s">
        <v>73</v>
      </c>
      <c r="C23" s="3" t="s">
        <v>17</v>
      </c>
      <c r="D23" s="5" t="s">
        <v>18</v>
      </c>
      <c r="E23" s="5" t="s">
        <v>19</v>
      </c>
      <c r="F23" s="3" t="s">
        <v>74</v>
      </c>
    </row>
    <row r="24" customFormat="false" ht="15" hidden="false" customHeight="true" outlineLevel="0" collapsed="false">
      <c r="A24" s="3" t="s">
        <v>75</v>
      </c>
      <c r="B24" s="3" t="s">
        <v>76</v>
      </c>
      <c r="C24" s="3" t="s">
        <v>17</v>
      </c>
      <c r="D24" s="5" t="s">
        <v>18</v>
      </c>
      <c r="E24" s="5" t="s">
        <v>19</v>
      </c>
      <c r="F24" s="3" t="s">
        <v>65</v>
      </c>
    </row>
    <row r="25" customFormat="false" ht="15" hidden="false" customHeight="true" outlineLevel="0" collapsed="false">
      <c r="A25" s="3" t="s">
        <v>77</v>
      </c>
      <c r="B25" s="3" t="s">
        <v>78</v>
      </c>
      <c r="C25" s="3" t="s">
        <v>17</v>
      </c>
      <c r="D25" s="5" t="s">
        <v>18</v>
      </c>
      <c r="E25" s="5" t="s">
        <v>19</v>
      </c>
      <c r="F25" s="3" t="s">
        <v>57</v>
      </c>
    </row>
    <row r="26" customFormat="false" ht="15" hidden="false" customHeight="true" outlineLevel="0" collapsed="false">
      <c r="A26" s="3" t="s">
        <v>79</v>
      </c>
      <c r="B26" s="3" t="s">
        <v>80</v>
      </c>
      <c r="C26" s="3" t="s">
        <v>47</v>
      </c>
      <c r="D26" s="6" t="s">
        <v>81</v>
      </c>
      <c r="E26" s="6" t="s">
        <v>82</v>
      </c>
      <c r="F26" s="3" t="s">
        <v>83</v>
      </c>
    </row>
    <row r="27" customFormat="false" ht="15" hidden="false" customHeight="true" outlineLevel="0" collapsed="false">
      <c r="A27" s="3" t="s">
        <v>84</v>
      </c>
      <c r="B27" s="3" t="s">
        <v>85</v>
      </c>
      <c r="C27" s="3" t="s">
        <v>17</v>
      </c>
      <c r="D27" s="5" t="s">
        <v>18</v>
      </c>
      <c r="E27" s="5" t="s">
        <v>19</v>
      </c>
      <c r="F27" s="3" t="s">
        <v>86</v>
      </c>
    </row>
    <row r="28" customFormat="false" ht="15" hidden="false" customHeight="true" outlineLevel="0" collapsed="false">
      <c r="A28" s="3" t="s">
        <v>87</v>
      </c>
      <c r="B28" s="3" t="s">
        <v>88</v>
      </c>
      <c r="C28" s="3" t="s">
        <v>8</v>
      </c>
      <c r="D28" s="4" t="s">
        <v>9</v>
      </c>
      <c r="E28" s="4" t="s">
        <v>10</v>
      </c>
      <c r="F28" s="3" t="s">
        <v>89</v>
      </c>
    </row>
    <row r="29" customFormat="false" ht="15" hidden="false" customHeight="true" outlineLevel="0" collapsed="false">
      <c r="A29" s="3" t="s">
        <v>90</v>
      </c>
      <c r="B29" s="3" t="s">
        <v>91</v>
      </c>
      <c r="C29" s="3" t="s">
        <v>17</v>
      </c>
      <c r="D29" s="5" t="s">
        <v>18</v>
      </c>
      <c r="E29" s="5" t="s">
        <v>19</v>
      </c>
      <c r="F29" s="3" t="s">
        <v>92</v>
      </c>
    </row>
    <row r="30" customFormat="false" ht="15" hidden="false" customHeight="true" outlineLevel="0" collapsed="false">
      <c r="A30" s="3" t="s">
        <v>93</v>
      </c>
      <c r="B30" s="3" t="s">
        <v>94</v>
      </c>
      <c r="C30" s="3" t="s">
        <v>17</v>
      </c>
      <c r="D30" s="5" t="s">
        <v>18</v>
      </c>
      <c r="E30" s="5" t="s">
        <v>19</v>
      </c>
      <c r="F30" s="3" t="s">
        <v>95</v>
      </c>
    </row>
    <row r="31" customFormat="false" ht="15" hidden="false" customHeight="true" outlineLevel="0" collapsed="false">
      <c r="A31" s="3" t="s">
        <v>96</v>
      </c>
      <c r="B31" s="3" t="s">
        <v>97</v>
      </c>
      <c r="C31" s="3" t="s">
        <v>17</v>
      </c>
      <c r="D31" s="5" t="s">
        <v>18</v>
      </c>
      <c r="E31" s="5" t="s">
        <v>19</v>
      </c>
      <c r="F31" s="3" t="s">
        <v>98</v>
      </c>
    </row>
    <row r="32" customFormat="false" ht="15" hidden="false" customHeight="true" outlineLevel="0" collapsed="false">
      <c r="A32" s="3" t="s">
        <v>99</v>
      </c>
      <c r="B32" s="3" t="s">
        <v>100</v>
      </c>
      <c r="C32" s="3" t="s">
        <v>17</v>
      </c>
      <c r="D32" s="5" t="s">
        <v>18</v>
      </c>
      <c r="E32" s="5" t="s">
        <v>19</v>
      </c>
      <c r="F32" s="3" t="s">
        <v>98</v>
      </c>
    </row>
    <row r="33" customFormat="false" ht="15" hidden="false" customHeight="true" outlineLevel="0" collapsed="false">
      <c r="A33" s="3" t="s">
        <v>101</v>
      </c>
      <c r="B33" s="3" t="s">
        <v>102</v>
      </c>
      <c r="C33" s="3" t="s">
        <v>47</v>
      </c>
      <c r="D33" s="5" t="s">
        <v>18</v>
      </c>
      <c r="E33" s="5" t="s">
        <v>19</v>
      </c>
      <c r="F33" s="3" t="s">
        <v>103</v>
      </c>
    </row>
    <row r="34" customFormat="false" ht="15" hidden="false" customHeight="true" outlineLevel="0" collapsed="false">
      <c r="A34" s="3" t="s">
        <v>104</v>
      </c>
      <c r="B34" s="3" t="s">
        <v>105</v>
      </c>
      <c r="C34" s="3" t="s">
        <v>17</v>
      </c>
      <c r="D34" s="5" t="s">
        <v>18</v>
      </c>
      <c r="E34" s="5" t="s">
        <v>19</v>
      </c>
      <c r="F34" s="3" t="s">
        <v>106</v>
      </c>
    </row>
    <row r="35" customFormat="false" ht="23.25" hidden="false" customHeight="true" outlineLevel="0" collapsed="false">
      <c r="A35" s="3" t="s">
        <v>107</v>
      </c>
      <c r="B35" s="3" t="s">
        <v>108</v>
      </c>
      <c r="C35" s="3" t="s">
        <v>17</v>
      </c>
      <c r="D35" s="5" t="s">
        <v>18</v>
      </c>
      <c r="E35" s="5" t="s">
        <v>19</v>
      </c>
      <c r="F35" s="3" t="s">
        <v>109</v>
      </c>
    </row>
    <row r="36" customFormat="false" ht="23.25" hidden="false" customHeight="true" outlineLevel="0" collapsed="false">
      <c r="A36" s="3" t="s">
        <v>110</v>
      </c>
      <c r="B36" s="3" t="s">
        <v>111</v>
      </c>
      <c r="C36" s="3" t="s">
        <v>17</v>
      </c>
      <c r="D36" s="5" t="s">
        <v>18</v>
      </c>
      <c r="E36" s="5" t="s">
        <v>19</v>
      </c>
      <c r="F36" s="3" t="s">
        <v>109</v>
      </c>
    </row>
    <row r="37" customFormat="false" ht="23.25" hidden="false" customHeight="true" outlineLevel="0" collapsed="false">
      <c r="A37" s="3" t="s">
        <v>112</v>
      </c>
      <c r="B37" s="3" t="s">
        <v>113</v>
      </c>
      <c r="C37" s="3" t="s">
        <v>17</v>
      </c>
      <c r="D37" s="5" t="s">
        <v>18</v>
      </c>
      <c r="E37" s="5" t="s">
        <v>19</v>
      </c>
      <c r="F37" s="3" t="s">
        <v>114</v>
      </c>
    </row>
    <row r="38" customFormat="false" ht="23.25" hidden="false" customHeight="true" outlineLevel="0" collapsed="false">
      <c r="A38" s="3" t="s">
        <v>115</v>
      </c>
      <c r="B38" s="3" t="s">
        <v>116</v>
      </c>
      <c r="C38" s="3" t="s">
        <v>17</v>
      </c>
      <c r="D38" s="5" t="s">
        <v>18</v>
      </c>
      <c r="E38" s="5" t="s">
        <v>19</v>
      </c>
      <c r="F38" s="3" t="s">
        <v>114</v>
      </c>
    </row>
    <row r="39" customFormat="false" ht="34.5" hidden="false" customHeight="true" outlineLevel="0" collapsed="false">
      <c r="A39" s="3" t="s">
        <v>117</v>
      </c>
      <c r="B39" s="3" t="s">
        <v>118</v>
      </c>
      <c r="C39" s="3" t="s">
        <v>47</v>
      </c>
      <c r="D39" s="5" t="s">
        <v>18</v>
      </c>
      <c r="E39" s="5" t="s">
        <v>19</v>
      </c>
      <c r="F39" s="3" t="s">
        <v>119</v>
      </c>
    </row>
    <row r="40" customFormat="false" ht="34.5" hidden="false" customHeight="true" outlineLevel="0" collapsed="false">
      <c r="A40" s="3" t="s">
        <v>120</v>
      </c>
      <c r="B40" s="3" t="s">
        <v>121</v>
      </c>
      <c r="C40" s="3" t="s">
        <v>47</v>
      </c>
      <c r="D40" s="5" t="s">
        <v>18</v>
      </c>
      <c r="E40" s="5" t="s">
        <v>19</v>
      </c>
      <c r="F40" s="3" t="s">
        <v>119</v>
      </c>
    </row>
    <row r="41" customFormat="false" ht="34.5" hidden="false" customHeight="true" outlineLevel="0" collapsed="false">
      <c r="A41" s="3" t="s">
        <v>122</v>
      </c>
      <c r="B41" s="3" t="s">
        <v>123</v>
      </c>
      <c r="C41" s="3" t="s">
        <v>47</v>
      </c>
      <c r="D41" s="5" t="s">
        <v>18</v>
      </c>
      <c r="E41" s="5" t="s">
        <v>19</v>
      </c>
      <c r="F41" s="3" t="s">
        <v>119</v>
      </c>
    </row>
    <row r="42" customFormat="false" ht="23.25" hidden="false" customHeight="true" outlineLevel="0" collapsed="false">
      <c r="A42" s="3" t="s">
        <v>124</v>
      </c>
      <c r="B42" s="3" t="s">
        <v>125</v>
      </c>
      <c r="C42" s="3" t="s">
        <v>47</v>
      </c>
      <c r="D42" s="5" t="s">
        <v>18</v>
      </c>
      <c r="E42" s="5" t="s">
        <v>19</v>
      </c>
      <c r="F42" s="3" t="s">
        <v>126</v>
      </c>
    </row>
    <row r="43" customFormat="false" ht="15" hidden="false" customHeight="true" outlineLevel="0" collapsed="false">
      <c r="A43" s="3" t="s">
        <v>127</v>
      </c>
      <c r="B43" s="3" t="s">
        <v>128</v>
      </c>
      <c r="C43" s="3" t="s">
        <v>47</v>
      </c>
      <c r="D43" s="5" t="s">
        <v>18</v>
      </c>
      <c r="E43" s="5" t="s">
        <v>19</v>
      </c>
      <c r="F43" s="3" t="s">
        <v>129</v>
      </c>
    </row>
    <row r="44" customFormat="false" ht="15" hidden="false" customHeight="true" outlineLevel="0" collapsed="false">
      <c r="A44" s="3" t="s">
        <v>130</v>
      </c>
      <c r="B44" s="3" t="s">
        <v>131</v>
      </c>
      <c r="C44" s="3" t="s">
        <v>47</v>
      </c>
      <c r="D44" s="5" t="s">
        <v>18</v>
      </c>
      <c r="E44" s="5" t="s">
        <v>19</v>
      </c>
      <c r="F44" s="3" t="s">
        <v>132</v>
      </c>
    </row>
    <row r="45" customFormat="false" ht="15" hidden="false" customHeight="true" outlineLevel="0" collapsed="false">
      <c r="A45" s="3" t="s">
        <v>133</v>
      </c>
      <c r="B45" s="3" t="s">
        <v>134</v>
      </c>
      <c r="C45" s="3" t="s">
        <v>17</v>
      </c>
      <c r="D45" s="5" t="s">
        <v>18</v>
      </c>
      <c r="E45" s="5" t="s">
        <v>19</v>
      </c>
      <c r="F45" s="3" t="s">
        <v>135</v>
      </c>
    </row>
    <row r="46" customFormat="false" ht="15" hidden="false" customHeight="true" outlineLevel="0" collapsed="false">
      <c r="A46" s="3" t="s">
        <v>136</v>
      </c>
      <c r="B46" s="3" t="s">
        <v>137</v>
      </c>
      <c r="C46" s="3" t="s">
        <v>47</v>
      </c>
      <c r="D46" s="5" t="s">
        <v>18</v>
      </c>
      <c r="E46" s="5" t="s">
        <v>19</v>
      </c>
      <c r="F46" s="3" t="s">
        <v>103</v>
      </c>
    </row>
    <row r="47" customFormat="false" ht="15" hidden="false" customHeight="true" outlineLevel="0" collapsed="false">
      <c r="A47" s="3" t="s">
        <v>138</v>
      </c>
      <c r="B47" s="3" t="s">
        <v>139</v>
      </c>
      <c r="C47" s="3" t="s">
        <v>47</v>
      </c>
      <c r="D47" s="5" t="s">
        <v>18</v>
      </c>
      <c r="E47" s="5" t="s">
        <v>19</v>
      </c>
      <c r="F47" s="3" t="s">
        <v>92</v>
      </c>
    </row>
    <row r="48" customFormat="false" ht="15" hidden="false" customHeight="true" outlineLevel="0" collapsed="false">
      <c r="A48" s="3" t="s">
        <v>140</v>
      </c>
      <c r="B48" s="3" t="s">
        <v>141</v>
      </c>
      <c r="C48" s="3" t="s">
        <v>47</v>
      </c>
      <c r="D48" s="5" t="s">
        <v>18</v>
      </c>
      <c r="E48" s="5" t="s">
        <v>19</v>
      </c>
      <c r="F48" s="3" t="s">
        <v>103</v>
      </c>
    </row>
    <row r="49" customFormat="false" ht="15" hidden="false" customHeight="true" outlineLevel="0" collapsed="false">
      <c r="A49" s="3" t="s">
        <v>142</v>
      </c>
      <c r="B49" s="3" t="s">
        <v>143</v>
      </c>
      <c r="C49" s="3" t="s">
        <v>17</v>
      </c>
      <c r="D49" s="5" t="s">
        <v>18</v>
      </c>
      <c r="E49" s="5" t="s">
        <v>19</v>
      </c>
      <c r="F49" s="3" t="s">
        <v>92</v>
      </c>
    </row>
    <row r="50" customFormat="false" ht="15" hidden="false" customHeight="true" outlineLevel="0" collapsed="false">
      <c r="A50" s="3" t="s">
        <v>144</v>
      </c>
      <c r="B50" s="3" t="s">
        <v>145</v>
      </c>
      <c r="C50" s="3" t="s">
        <v>47</v>
      </c>
      <c r="D50" s="5" t="s">
        <v>18</v>
      </c>
      <c r="E50" s="5" t="s">
        <v>19</v>
      </c>
      <c r="F50" s="3" t="s">
        <v>98</v>
      </c>
    </row>
    <row r="51" customFormat="false" ht="15" hidden="false" customHeight="true" outlineLevel="0" collapsed="false">
      <c r="A51" s="3" t="s">
        <v>146</v>
      </c>
      <c r="B51" s="3" t="s">
        <v>147</v>
      </c>
      <c r="C51" s="3" t="s">
        <v>17</v>
      </c>
      <c r="D51" s="5" t="s">
        <v>18</v>
      </c>
      <c r="E51" s="5" t="s">
        <v>19</v>
      </c>
      <c r="F51" s="3" t="s">
        <v>92</v>
      </c>
    </row>
    <row r="52" customFormat="false" ht="15" hidden="false" customHeight="true" outlineLevel="0" collapsed="false">
      <c r="A52" s="3" t="s">
        <v>148</v>
      </c>
      <c r="B52" s="3" t="s">
        <v>149</v>
      </c>
      <c r="C52" s="3" t="s">
        <v>47</v>
      </c>
      <c r="D52" s="5" t="s">
        <v>18</v>
      </c>
      <c r="E52" s="5" t="s">
        <v>19</v>
      </c>
      <c r="F52" s="3" t="s">
        <v>92</v>
      </c>
    </row>
    <row r="53" customFormat="false" ht="15" hidden="false" customHeight="true" outlineLevel="0" collapsed="false">
      <c r="A53" s="3" t="s">
        <v>150</v>
      </c>
      <c r="B53" s="3" t="s">
        <v>151</v>
      </c>
      <c r="C53" s="3" t="s">
        <v>17</v>
      </c>
      <c r="D53" s="5" t="s">
        <v>18</v>
      </c>
      <c r="E53" s="5" t="s">
        <v>19</v>
      </c>
      <c r="F53" s="3" t="s">
        <v>152</v>
      </c>
    </row>
    <row r="54" customFormat="false" ht="15" hidden="false" customHeight="true" outlineLevel="0" collapsed="false">
      <c r="A54" s="3" t="s">
        <v>153</v>
      </c>
      <c r="B54" s="3" t="s">
        <v>154</v>
      </c>
      <c r="C54" s="3" t="s">
        <v>17</v>
      </c>
      <c r="D54" s="5" t="s">
        <v>18</v>
      </c>
      <c r="E54" s="5" t="s">
        <v>19</v>
      </c>
      <c r="F54" s="3" t="s">
        <v>92</v>
      </c>
    </row>
    <row r="55" customFormat="false" ht="15" hidden="false" customHeight="true" outlineLevel="0" collapsed="false">
      <c r="A55" s="3" t="s">
        <v>155</v>
      </c>
      <c r="B55" s="3" t="s">
        <v>156</v>
      </c>
      <c r="C55" s="3" t="s">
        <v>17</v>
      </c>
      <c r="D55" s="5" t="s">
        <v>18</v>
      </c>
      <c r="E55" s="5" t="s">
        <v>19</v>
      </c>
      <c r="F55" s="3" t="s">
        <v>157</v>
      </c>
    </row>
    <row r="56" customFormat="false" ht="15" hidden="false" customHeight="true" outlineLevel="0" collapsed="false">
      <c r="A56" s="3" t="s">
        <v>158</v>
      </c>
      <c r="B56" s="3" t="s">
        <v>159</v>
      </c>
      <c r="C56" s="3" t="s">
        <v>47</v>
      </c>
      <c r="D56" s="6" t="s">
        <v>81</v>
      </c>
      <c r="E56" s="6" t="s">
        <v>82</v>
      </c>
      <c r="F56" s="3" t="s">
        <v>160</v>
      </c>
    </row>
    <row r="57" customFormat="false" ht="15" hidden="false" customHeight="true" outlineLevel="0" collapsed="false">
      <c r="A57" s="3" t="s">
        <v>161</v>
      </c>
      <c r="B57" s="3" t="s">
        <v>162</v>
      </c>
      <c r="C57" s="3" t="s">
        <v>17</v>
      </c>
      <c r="D57" s="5" t="s">
        <v>18</v>
      </c>
      <c r="E57" s="5" t="s">
        <v>19</v>
      </c>
      <c r="F57" s="3" t="s">
        <v>92</v>
      </c>
    </row>
    <row r="58" customFormat="false" ht="15" hidden="false" customHeight="true" outlineLevel="0" collapsed="false">
      <c r="A58" s="3" t="s">
        <v>163</v>
      </c>
      <c r="B58" s="3" t="s">
        <v>164</v>
      </c>
      <c r="C58" s="3" t="s">
        <v>47</v>
      </c>
      <c r="D58" s="5" t="s">
        <v>18</v>
      </c>
      <c r="E58" s="5" t="s">
        <v>19</v>
      </c>
      <c r="F58" s="3" t="s">
        <v>165</v>
      </c>
    </row>
    <row r="59" customFormat="false" ht="15" hidden="false" customHeight="true" outlineLevel="0" collapsed="false">
      <c r="A59" s="3" t="s">
        <v>166</v>
      </c>
      <c r="B59" s="3" t="s">
        <v>167</v>
      </c>
      <c r="C59" s="3" t="s">
        <v>17</v>
      </c>
      <c r="D59" s="5" t="s">
        <v>18</v>
      </c>
      <c r="E59" s="5" t="s">
        <v>19</v>
      </c>
      <c r="F59" s="3" t="s">
        <v>168</v>
      </c>
    </row>
    <row r="60" customFormat="false" ht="15" hidden="false" customHeight="true" outlineLevel="0" collapsed="false">
      <c r="A60" s="3" t="s">
        <v>169</v>
      </c>
      <c r="B60" s="3" t="s">
        <v>170</v>
      </c>
      <c r="C60" s="3" t="s">
        <v>17</v>
      </c>
      <c r="D60" s="5" t="s">
        <v>18</v>
      </c>
      <c r="E60" s="5" t="s">
        <v>19</v>
      </c>
      <c r="F60" s="3" t="s">
        <v>168</v>
      </c>
    </row>
    <row r="61" customFormat="false" ht="15" hidden="false" customHeight="true" outlineLevel="0" collapsed="false">
      <c r="A61" s="3" t="s">
        <v>171</v>
      </c>
      <c r="B61" s="3" t="s">
        <v>172</v>
      </c>
      <c r="C61" s="3" t="s">
        <v>17</v>
      </c>
      <c r="D61" s="5" t="s">
        <v>18</v>
      </c>
      <c r="E61" s="5" t="s">
        <v>19</v>
      </c>
      <c r="F61" s="3" t="s">
        <v>168</v>
      </c>
    </row>
    <row r="62" customFormat="false" ht="15" hidden="false" customHeight="true" outlineLevel="0" collapsed="false">
      <c r="A62" s="3" t="s">
        <v>173</v>
      </c>
      <c r="B62" s="3" t="s">
        <v>174</v>
      </c>
      <c r="C62" s="3" t="s">
        <v>17</v>
      </c>
      <c r="D62" s="5" t="s">
        <v>18</v>
      </c>
      <c r="E62" s="5" t="s">
        <v>19</v>
      </c>
      <c r="F62" s="3" t="s">
        <v>168</v>
      </c>
    </row>
    <row r="63" customFormat="false" ht="15" hidden="false" customHeight="true" outlineLevel="0" collapsed="false">
      <c r="A63" s="3" t="s">
        <v>175</v>
      </c>
      <c r="B63" s="3" t="s">
        <v>176</v>
      </c>
      <c r="C63" s="3" t="s">
        <v>17</v>
      </c>
      <c r="D63" s="5" t="s">
        <v>18</v>
      </c>
      <c r="E63" s="5" t="s">
        <v>19</v>
      </c>
      <c r="F63" s="3" t="s">
        <v>168</v>
      </c>
    </row>
    <row r="64" customFormat="false" ht="15" hidden="false" customHeight="true" outlineLevel="0" collapsed="false">
      <c r="A64" s="3" t="s">
        <v>177</v>
      </c>
      <c r="B64" s="3" t="s">
        <v>178</v>
      </c>
      <c r="C64" s="3" t="s">
        <v>17</v>
      </c>
      <c r="D64" s="5" t="s">
        <v>18</v>
      </c>
      <c r="E64" s="5" t="s">
        <v>19</v>
      </c>
      <c r="F64" s="3" t="s">
        <v>168</v>
      </c>
    </row>
    <row r="65" customFormat="false" ht="15" hidden="false" customHeight="true" outlineLevel="0" collapsed="false">
      <c r="A65" s="3" t="s">
        <v>179</v>
      </c>
      <c r="B65" s="3" t="s">
        <v>180</v>
      </c>
      <c r="C65" s="3" t="s">
        <v>17</v>
      </c>
      <c r="D65" s="5" t="s">
        <v>18</v>
      </c>
      <c r="E65" s="5" t="s">
        <v>19</v>
      </c>
      <c r="F65" s="3" t="s">
        <v>168</v>
      </c>
    </row>
    <row r="66" customFormat="false" ht="15" hidden="false" customHeight="true" outlineLevel="0" collapsed="false">
      <c r="A66" s="3" t="s">
        <v>181</v>
      </c>
      <c r="B66" s="3" t="s">
        <v>182</v>
      </c>
      <c r="C66" s="3" t="s">
        <v>8</v>
      </c>
      <c r="D66" s="4" t="s">
        <v>9</v>
      </c>
      <c r="E66" s="4" t="s">
        <v>10</v>
      </c>
      <c r="F66" s="3" t="s">
        <v>183</v>
      </c>
    </row>
    <row r="67" customFormat="false" ht="15" hidden="false" customHeight="true" outlineLevel="0" collapsed="false">
      <c r="A67" s="3" t="s">
        <v>184</v>
      </c>
      <c r="B67" s="3" t="s">
        <v>185</v>
      </c>
      <c r="C67" s="3" t="s">
        <v>8</v>
      </c>
      <c r="D67" s="4" t="s">
        <v>9</v>
      </c>
      <c r="E67" s="4" t="s">
        <v>10</v>
      </c>
      <c r="F67" s="3" t="s">
        <v>186</v>
      </c>
    </row>
    <row r="68" customFormat="false" ht="15" hidden="false" customHeight="true" outlineLevel="0" collapsed="false">
      <c r="A68" s="3" t="s">
        <v>187</v>
      </c>
      <c r="B68" s="3" t="s">
        <v>188</v>
      </c>
      <c r="C68" s="3" t="s">
        <v>8</v>
      </c>
      <c r="D68" s="4" t="s">
        <v>9</v>
      </c>
      <c r="E68" s="4" t="s">
        <v>10</v>
      </c>
      <c r="F68" s="3" t="s">
        <v>189</v>
      </c>
    </row>
  </sheetData>
  <autoFilter ref="A1:F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80"/>
  </cols>
  <sheetData>
    <row r="1" customFormat="false" ht="15" hidden="false" customHeight="true" outlineLevel="0" collapsed="false">
      <c r="A1" s="7" t="s">
        <v>190</v>
      </c>
      <c r="B1" s="7" t="s">
        <v>191</v>
      </c>
      <c r="C1" s="7" t="s">
        <v>192</v>
      </c>
    </row>
    <row r="2" customFormat="false" ht="15" hidden="false" customHeight="true" outlineLevel="0" collapsed="false">
      <c r="A2" s="3" t="s">
        <v>19</v>
      </c>
      <c r="B2" s="3" t="n">
        <f aca="false">COUNTIF(ROLES!$E$2:$E$68,A2)</f>
        <v>53</v>
      </c>
      <c r="C2" s="3" t="s">
        <v>193</v>
      </c>
    </row>
    <row r="3" customFormat="false" ht="15" hidden="false" customHeight="true" outlineLevel="0" collapsed="false">
      <c r="A3" s="3" t="s">
        <v>82</v>
      </c>
      <c r="B3" s="3" t="n">
        <f aca="false">COUNTIF(ROLES!$E$2:$E$68,A3)</f>
        <v>2</v>
      </c>
      <c r="C3" s="3" t="s">
        <v>194</v>
      </c>
    </row>
    <row r="4" customFormat="false" ht="15" hidden="false" customHeight="true" outlineLevel="0" collapsed="false">
      <c r="A4" s="3" t="s">
        <v>195</v>
      </c>
      <c r="B4" s="3" t="n">
        <f aca="false">COUNTIF(ROLES!$E$2:$E$68,A4)</f>
        <v>0</v>
      </c>
      <c r="C4" s="3" t="s">
        <v>196</v>
      </c>
    </row>
    <row r="5" customFormat="false" ht="15" hidden="false" customHeight="true" outlineLevel="0" collapsed="false">
      <c r="A5" s="3" t="s">
        <v>10</v>
      </c>
      <c r="B5" s="3" t="n">
        <f aca="false">COUNTIF(ROLES!$E$2:$E$68,A5)</f>
        <v>12</v>
      </c>
      <c r="C5" s="3" t="s">
        <v>197</v>
      </c>
    </row>
    <row r="6" customFormat="false" ht="15" hidden="false" customHeight="true" outlineLevel="0" collapsed="false">
      <c r="A6" s="3" t="s">
        <v>198</v>
      </c>
      <c r="B6" s="3" t="n">
        <f aca="false">COUNTIF(ROLES!$E$2:$E$68,A6)</f>
        <v>0</v>
      </c>
      <c r="C6" s="3" t="s">
        <v>199</v>
      </c>
    </row>
    <row r="7" customFormat="false" ht="15" hidden="false" customHeight="true" outlineLevel="0" collapsed="false">
      <c r="A7" s="3" t="s">
        <v>200</v>
      </c>
      <c r="B7" s="3" t="n">
        <f aca="false">COUNTIF(ROLES!$E$2:$E$68,A7)</f>
        <v>0</v>
      </c>
      <c r="C7" s="3" t="s">
        <v>201</v>
      </c>
    </row>
    <row r="8" customFormat="false" ht="15" hidden="false" customHeight="true" outlineLevel="0" collapsed="false">
      <c r="A8" s="8" t="s">
        <v>202</v>
      </c>
      <c r="B8" s="8" t="n">
        <f aca="false">SUM(B2:B7)</f>
        <v>67</v>
      </c>
      <c r="C8" s="8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2026-10-09T11:50:10Z</dcterms:created>
  <dc:creator>openpyxl</dc:creator>
  <dc:description/>
  <dc:language>en-US</dc:language>
  <cp:lastModifiedBy/>
  <dcterms:modified xsi:type="dcterms:W3CDTF">2026-10-09T11:50:21Z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