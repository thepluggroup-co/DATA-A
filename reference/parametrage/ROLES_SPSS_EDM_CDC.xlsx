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QUE_CDC" sheetId="1" state="visible" r:id="rId3"/>
    <sheet name="ROLES_CDC" sheetId="2" state="visible" r:id="rId4"/>
    <sheet name="RECAP" sheetId="3" state="visible" r:id="rId5"/>
  </sheets>
  <definedNames>
    <definedName function="false" hidden="true" localSheetId="1" name="_xlnm._FilterDatabase" vbProcedure="false">ROLES_CDC!$A$1:$F$68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<sst xmlns="http://schemas.openxmlformats.org/spreadsheetml/2006/main" count="377" uniqueCount="200">
  <si>
    <t xml:space="preserve">PRINCIPE</t>
  </si>
  <si>
    <t xml:space="preserve">CE QUE DIT LE CAHIER DES CHARGES</t>
  </si>
  <si>
    <t xml:space="preserve">CONSÉQUENCE SUR LES RÔLES</t>
  </si>
  <si>
    <t xml:space="preserve">Nature de l'étude</t>
  </si>
  <si>
    <t xml:space="preserve">Étude quantitative descriptive et comparative des habitudes de consommation (§8 Résultats attendus)</t>
  </si>
  <si>
    <t xml:space="preserve">Aucune variable à expliquer imposée : pas de modèle exigé</t>
  </si>
  <si>
    <t xml:space="preserve">Échantillonnage</t>
  </si>
  <si>
    <t xml:space="preserve">Stratifié par ville et par catégorie de répondants (§4b)</t>
  </si>
  <si>
    <t xml:space="preserve">CODEZONE et VOUSETES = facteurs de comparaison → Input</t>
  </si>
  <si>
    <t xml:space="preserve">Objectif 1</t>
  </si>
  <si>
    <t xml:space="preserve">Profils socio-économiques des consommateurs</t>
  </si>
  <si>
    <t xml:space="preserve">SEXMAFEM, AGEREPON, VILLEREG, REVMENME → Input</t>
  </si>
  <si>
    <t xml:space="preserve">Objectif général et objectifs 2 à 5</t>
  </si>
  <si>
    <t xml:space="preserve">Habitudes, critères de choix, notoriété et perception, part de marché par origine, attentes non satisfaites</t>
  </si>
  <si>
    <t xml:space="preserve">Variables mesurées à décrire et comparer par ville × catégorie → Target</t>
  </si>
  <si>
    <t xml:space="preserve">Objectif 6</t>
  </si>
  <si>
    <t xml:space="preserve">Recommandations stratégiques</t>
  </si>
  <si>
    <t xml:space="preserve">Pas de variable propre : s'appuie sur les objectifs 2 à 5 (dont leviers de fidélité Q41)</t>
  </si>
  <si>
    <t xml:space="preserve">Hors objectifs</t>
  </si>
  <si>
    <t xml:space="preserve">Identifiants, textes libres, contrôle qualité, consentement de recontact commercial</t>
  </si>
  <si>
    <t xml:space="preserve">None</t>
  </si>
  <si>
    <t xml:space="preserve">Limite</t>
  </si>
  <si>
    <t xml:space="preserve">Le rôle est unique par variable et n'agit que sur certaines boîtes de dialogue</t>
  </si>
  <si>
    <t xml:space="preserve">Pour les régressions A15/A16 (prédicteurs PRACSOLA, DEJACHLI…), choisir les variables dans la boîte de dialogue ou utiliser un VARIABLE ROLE avant ce bloc</t>
  </si>
  <si>
    <t xml:space="preserve">VARIABLE</t>
  </si>
  <si>
    <t xml:space="preserve">LIBELLÉ</t>
  </si>
  <si>
    <t xml:space="preserve">RÔLE SPSS (CDC)</t>
  </si>
  <si>
    <t xml:space="preserve">RÔLE PRÉCÉDENT</t>
  </si>
  <si>
    <t xml:space="preserve">CHANGEMENT</t>
  </si>
  <si>
    <t xml:space="preserve">RATTACHEMENT AU CAHIER DES CHARGES</t>
  </si>
  <si>
    <t xml:space="preserve">NUMFICHE</t>
  </si>
  <si>
    <t xml:space="preserve">N° de fiche</t>
  </si>
  <si>
    <t xml:space="preserve">Identifiant de fiche</t>
  </si>
  <si>
    <t xml:space="preserve">CODEENQU</t>
  </si>
  <si>
    <t xml:space="preserve">Identifiant enquêteur</t>
  </si>
  <si>
    <t xml:space="preserve">Identifiant enquêteur : contrôle terrain (8 enquêteurs, CDC §5), hors analyse de marché</t>
  </si>
  <si>
    <t xml:space="preserve">CODEZONE</t>
  </si>
  <si>
    <t xml:space="preserve">Zone d'étude</t>
  </si>
  <si>
    <t xml:space="preserve">Input</t>
  </si>
  <si>
    <t xml:space="preserve">Strate d'échantillonnage (ville), CDC §4 : facteur de comparaison</t>
  </si>
  <si>
    <t xml:space="preserve">QUARTIER</t>
  </si>
  <si>
    <t xml:space="preserve">Quartier / zone</t>
  </si>
  <si>
    <t xml:space="preserve">Texte libre de localisation</t>
  </si>
  <si>
    <t xml:space="preserve">SITEENQU</t>
  </si>
  <si>
    <t xml:space="preserve">Site précis / repère</t>
  </si>
  <si>
    <t xml:space="preserve">DATEENQU</t>
  </si>
  <si>
    <t xml:space="preserve">Date de l'enquête</t>
  </si>
  <si>
    <t xml:space="preserve">Horodatage technique</t>
  </si>
  <si>
    <t xml:space="preserve">HEUREENQ</t>
  </si>
  <si>
    <t xml:space="preserve">Heure de soumission</t>
  </si>
  <si>
    <t xml:space="preserve">DELAIPRE</t>
  </si>
  <si>
    <t xml:space="preserve">Minutes depuis la fiche précédente du même enquêteur</t>
  </si>
  <si>
    <t xml:space="preserve">Contrôle qualité</t>
  </si>
  <si>
    <t xml:space="preserve">ACCRECON</t>
  </si>
  <si>
    <t xml:space="preserve">Accepte d'être recontacté à des fins commerciales</t>
  </si>
  <si>
    <t xml:space="preserve">Consentement de recontact commercial : hors objectifs du CDC</t>
  </si>
  <si>
    <t xml:space="preserve">VOUSETES</t>
  </si>
  <si>
    <t xml:space="preserve">Q1. Vous êtes</t>
  </si>
  <si>
    <t xml:space="preserve">Strate (catégorie de répondants), CDC §4 et objectif 1 : facteur de comparaison</t>
  </si>
  <si>
    <t xml:space="preserve">SEXMAFEM</t>
  </si>
  <si>
    <t xml:space="preserve">Q2. Genre</t>
  </si>
  <si>
    <t xml:space="preserve">Objectif 1 (profils socio-économiques) : variable de profil</t>
  </si>
  <si>
    <t xml:space="preserve">AGEREPON</t>
  </si>
  <si>
    <t xml:space="preserve">Q3. Âge</t>
  </si>
  <si>
    <t xml:space="preserve">VILLEREG</t>
  </si>
  <si>
    <t xml:space="preserve">Q4. Ville / région</t>
  </si>
  <si>
    <t xml:space="preserve">REVMENME</t>
  </si>
  <si>
    <t xml:space="preserve">Q5. Revenu mensuel du ménage (FCFA)</t>
  </si>
  <si>
    <t xml:space="preserve">FREQACHA</t>
  </si>
  <si>
    <t xml:space="preserve">Q6. Fréquence d'achat</t>
  </si>
  <si>
    <t xml:space="preserve">Target</t>
  </si>
  <si>
    <t xml:space="preserve">Objectif général (habitudes de consommation) : variable mesurée</t>
  </si>
  <si>
    <t xml:space="preserve">LIEACHPR</t>
  </si>
  <si>
    <t xml:space="preserve">Q7. Lieu d'achat principal</t>
  </si>
  <si>
    <t xml:space="preserve">MONMOYAC</t>
  </si>
  <si>
    <t xml:space="preserve">Q8. Montant moyen par achat (FCFA)</t>
  </si>
  <si>
    <t xml:space="preserve">PRACCABL</t>
  </si>
  <si>
    <t xml:space="preserve">Q9. Produits achetés - Câbles/fils</t>
  </si>
  <si>
    <t xml:space="preserve">PRACAPPA</t>
  </si>
  <si>
    <t xml:space="preserve">Q9. Produits achetés - Appareillage/disjoncteurs</t>
  </si>
  <si>
    <t xml:space="preserve">PRACPRIS</t>
  </si>
  <si>
    <t xml:space="preserve">Q9. Produits achetés - Prises/interrupteurs</t>
  </si>
  <si>
    <t xml:space="preserve">PRACLUMI</t>
  </si>
  <si>
    <t xml:space="preserve">Q9. Produits achetés - Luminaires</t>
  </si>
  <si>
    <t xml:space="preserve">PRACSOLA</t>
  </si>
  <si>
    <t xml:space="preserve">Q9. Produits achetés - Solaire/onduleurs</t>
  </si>
  <si>
    <t xml:space="preserve">PRACGROU</t>
  </si>
  <si>
    <t xml:space="preserve">Q9. Produits achetés - Groupes électrogènes</t>
  </si>
  <si>
    <t xml:space="preserve">PAIEPRIV</t>
  </si>
  <si>
    <t xml:space="preserve">Q10. Paiement privilégié</t>
  </si>
  <si>
    <t xml:space="preserve">IMPOMARQ</t>
  </si>
  <si>
    <t xml:space="preserve">Q11. Importance de la marque</t>
  </si>
  <si>
    <t xml:space="preserve">Objectif 2 (critères de choix) : variable mesurée</t>
  </si>
  <si>
    <t xml:space="preserve">MAACPLSO</t>
  </si>
  <si>
    <t xml:space="preserve">Q12. Marque achetée le plus souvent</t>
  </si>
  <si>
    <t xml:space="preserve">Objectifs 3 et 4 (marque achetée, lien marque-origine) : variable mesurée</t>
  </si>
  <si>
    <t xml:space="preserve">MAACAUTR</t>
  </si>
  <si>
    <t xml:space="preserve">Q12. Marque achetée le plus souvent - Autre (précisez)</t>
  </si>
  <si>
    <t xml:space="preserve">Texte libre : codification thématique à part</t>
  </si>
  <si>
    <t xml:space="preserve">PRCRICHO</t>
  </si>
  <si>
    <t xml:space="preserve">Q13. Principal critère de choix</t>
  </si>
  <si>
    <t xml:space="preserve">ORIGPRIV</t>
  </si>
  <si>
    <t xml:space="preserve">Q14. Origine privilégiée</t>
  </si>
  <si>
    <t xml:space="preserve">Objectif 4 (part de marché selon l'origine) : variable mesurée</t>
  </si>
  <si>
    <t xml:space="preserve">MEQUAFIA</t>
  </si>
  <si>
    <t xml:space="preserve">Q15. Meilleure qualité/fiabilité selon vous</t>
  </si>
  <si>
    <t xml:space="preserve">Objectif 3 (notoriété et perception des marques) : variable mesurée</t>
  </si>
  <si>
    <t xml:space="preserve">MEILPRIX</t>
  </si>
  <si>
    <t xml:space="preserve">Q16. Meilleur prix selon vous</t>
  </si>
  <si>
    <t xml:space="preserve">ORINFACH</t>
  </si>
  <si>
    <t xml:space="preserve">Q17. L'origine influence votre achat</t>
  </si>
  <si>
    <t xml:space="preserve">Objectifs 2 et 4 (origine comme critère de choix) : variable mesurée</t>
  </si>
  <si>
    <t xml:space="preserve">GAACPLSO</t>
  </si>
  <si>
    <t xml:space="preserve">Q18. Gamme achetée le plus souvent</t>
  </si>
  <si>
    <t xml:space="preserve">DEAVHAGA</t>
  </si>
  <si>
    <t xml:space="preserve">Q19. Pour vous, ce qui définit AVANT TOUT un produit HAUT DE GAMME</t>
  </si>
  <si>
    <t xml:space="preserve">CAAVBAGA</t>
  </si>
  <si>
    <t xml:space="preserve">Q20. Pour vous, ce qui caractérise AVANT TOUT un produit BAS DE GAMME</t>
  </si>
  <si>
    <t xml:space="preserve">ORASHAGA</t>
  </si>
  <si>
    <t xml:space="preserve">Q21. À quelle origine associez-vous spontanément le HAUT DE GAMME ?</t>
  </si>
  <si>
    <t xml:space="preserve">ORASBAGA</t>
  </si>
  <si>
    <t xml:space="preserve">Q22. À quelle origine associez-vous spontanément le BAS DE GAMME ?</t>
  </si>
  <si>
    <t xml:space="preserve">PXHAUTGA</t>
  </si>
  <si>
    <t xml:space="preserve">Q23. Pour un article courant (ex. disjoncteur), à quelle fourchette de prix associez-vous chaque gamme - Haut de gamme</t>
  </si>
  <si>
    <t xml:space="preserve">PXMOYEGA</t>
  </si>
  <si>
    <t xml:space="preserve">Q23. Pour un article courant (ex. disjoncteur), à quelle fourchette de prix associez-vous chaque gamme - Moyenne gamme</t>
  </si>
  <si>
    <t xml:space="preserve">PXBASGAM</t>
  </si>
  <si>
    <t xml:space="preserve">Q23. Pour un article courant (ex. disjoncteur), à quelle fourchette de prix associez-vous chaque gamme - Bas de gamme</t>
  </si>
  <si>
    <t xml:space="preserve">ECQUHABA</t>
  </si>
  <si>
    <t xml:space="preserve">Q24. Selon vous, l'écart de qualité entre le haut et le bas de gamme est</t>
  </si>
  <si>
    <t xml:space="preserve">PRIOPRIN</t>
  </si>
  <si>
    <t xml:space="preserve">Q25. Priorité principale</t>
  </si>
  <si>
    <t xml:space="preserve">SUACMOGA</t>
  </si>
  <si>
    <t xml:space="preserve">Q26. Surcoût accepté pour monter en gamme</t>
  </si>
  <si>
    <t xml:space="preserve">PRINFREI</t>
  </si>
  <si>
    <t xml:space="preserve">Q27. Principal frein</t>
  </si>
  <si>
    <t xml:space="preserve">Objectif 5 (besoins non satisfaits) : variable mesurée</t>
  </si>
  <si>
    <t xml:space="preserve">CRACPRCO</t>
  </si>
  <si>
    <t xml:space="preserve">Q28. Crainte d'acheter un produit contrefait/non conforme</t>
  </si>
  <si>
    <t xml:space="preserve">Objectifs 3 et 5 (crainte de contrefaçon, besoins non satisfaits) : variable mesurée</t>
  </si>
  <si>
    <t xml:space="preserve">DEJDECAC</t>
  </si>
  <si>
    <t xml:space="preserve">Q29. Déjà déçu par un achat</t>
  </si>
  <si>
    <t xml:space="preserve">IMSECSAV</t>
  </si>
  <si>
    <t xml:space="preserve">Q30. Importance du service client et du SAV</t>
  </si>
  <si>
    <t xml:space="preserve">Objectif 5 (SAV et garantie) : variable mesurée</t>
  </si>
  <si>
    <t xml:space="preserve">SEATPRIO</t>
  </si>
  <si>
    <t xml:space="preserve">Q31. Service attendu en priorité</t>
  </si>
  <si>
    <t xml:space="preserve">DUGAJUAC</t>
  </si>
  <si>
    <t xml:space="preserve">Q32. Durée de garantie jugée acceptable</t>
  </si>
  <si>
    <t xml:space="preserve">CACOPREF</t>
  </si>
  <si>
    <t xml:space="preserve">Q33. Canal de contact préféré</t>
  </si>
  <si>
    <t xml:space="preserve">BOSAPACH</t>
  </si>
  <si>
    <t xml:space="preserve">Q34. Un bon SAV/service vous ferait payer plus cher</t>
  </si>
  <si>
    <t xml:space="preserve">CANAPREF</t>
  </si>
  <si>
    <t xml:space="preserve">Q35. Canal préféré</t>
  </si>
  <si>
    <t xml:space="preserve">Objectif 5 (proximité, canaux) : variable mesurée</t>
  </si>
  <si>
    <t xml:space="preserve">CRCHCANA</t>
  </si>
  <si>
    <t xml:space="preserve">Q36. Critère de choix du canal</t>
  </si>
  <si>
    <t xml:space="preserve">DEJACHLI</t>
  </si>
  <si>
    <t xml:space="preserve">Q37. Déjà acheté en ligne</t>
  </si>
  <si>
    <t xml:space="preserve">Objectif 5 (innovation : achat en ligne) : variable mesurée</t>
  </si>
  <si>
    <t xml:space="preserve">PRETACLI</t>
  </si>
  <si>
    <t xml:space="preserve">Q38. Prêt à acheter en ligne</t>
  </si>
  <si>
    <t xml:space="preserve">PRFRACLI</t>
  </si>
  <si>
    <t xml:space="preserve">Q39. Principal frein à l'achat en ligne</t>
  </si>
  <si>
    <t xml:space="preserve">FIMEFOUR</t>
  </si>
  <si>
    <t xml:space="preserve">Q40. Fidèle à un même fournisseur</t>
  </si>
  <si>
    <t xml:space="preserve">Objectifs 5 et 6 (leviers de fidélité pour les recommandations) : variable mesurée</t>
  </si>
  <si>
    <t xml:space="preserve">RFIDPRIX</t>
  </si>
  <si>
    <t xml:space="preserve">Q41. Ce qui renforcerait votre fidélité - Prix/promotions</t>
  </si>
  <si>
    <t xml:space="preserve">RFIDQUAL</t>
  </si>
  <si>
    <t xml:space="preserve">Q41. Ce qui renforcerait votre fidélité - Qualité constante</t>
  </si>
  <si>
    <t xml:space="preserve">RFIDSTOC</t>
  </si>
  <si>
    <t xml:space="preserve">Q41. Ce qui renforcerait votre fidélité - Disponibilité du stock</t>
  </si>
  <si>
    <t xml:space="preserve">RFIDCONS</t>
  </si>
  <si>
    <t xml:space="preserve">Q41. Ce qui renforcerait votre fidélité - Bon conseil</t>
  </si>
  <si>
    <t xml:space="preserve">RFIDSAVF</t>
  </si>
  <si>
    <t xml:space="preserve">Q41. Ce qui renforcerait votre fidélité - SAV fiable</t>
  </si>
  <si>
    <t xml:space="preserve">RFIDPROG</t>
  </si>
  <si>
    <t xml:space="preserve">Q41. Ce qui renforcerait votre fidélité - Programme de fidélité</t>
  </si>
  <si>
    <t xml:space="preserve">RFIDPAIE</t>
  </si>
  <si>
    <t xml:space="preserve">Q41. Ce qui renforcerait votre fidélité - Facilités de paiement</t>
  </si>
  <si>
    <t xml:space="preserve">SUGGATTE</t>
  </si>
  <si>
    <t xml:space="preserve">Q42. Une suggestion / attente (facultatif)</t>
  </si>
  <si>
    <t xml:space="preserve">Question ouverte Q42 : codification thématique à part (objectif 5)</t>
  </si>
  <si>
    <t xml:space="preserve">ANOMALIE</t>
  </si>
  <si>
    <t xml:space="preserve">Anomalies détectées automatiquement</t>
  </si>
  <si>
    <t xml:space="preserve">Contrôle qualité automatique</t>
  </si>
  <si>
    <t xml:space="preserve">STATUTQC</t>
  </si>
  <si>
    <t xml:space="preserve">Statut contrôle qualité</t>
  </si>
  <si>
    <t xml:space="preserve">Statut du contrôle qualité</t>
  </si>
  <si>
    <t xml:space="preserve">RÔLE SPSS</t>
  </si>
  <si>
    <t xml:space="preserve">VERSION CDC</t>
  </si>
  <si>
    <t xml:space="preserve">VERSION PRÉCÉDENTE</t>
  </si>
  <si>
    <t xml:space="preserve">Both</t>
  </si>
  <si>
    <t xml:space="preserve">Partition</t>
  </si>
  <si>
    <t xml:space="preserve">Split</t>
  </si>
  <si>
    <t xml:space="preserve">TOTAL</t>
  </si>
  <si>
    <t xml:space="preserve">Variables modifiées</t>
  </si>
  <si>
    <t xml:space="preserve">Variables identiques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</si>
</sst>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FE6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23.8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23.85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15" hidden="false" customHeight="false" outlineLevel="0" collapsed="false">
      <c r="A6" s="2" t="s">
        <v>15</v>
      </c>
      <c r="B6" s="2" t="s">
        <v>16</v>
      </c>
      <c r="C6" s="2" t="s">
        <v>17</v>
      </c>
    </row>
    <row r="7" customFormat="false" ht="23.85" hidden="false" customHeight="false" outlineLevel="0" collapsed="false">
      <c r="A7" s="2" t="s">
        <v>18</v>
      </c>
      <c r="B7" s="2" t="s">
        <v>19</v>
      </c>
      <c r="C7" s="2" t="s">
        <v>20</v>
      </c>
    </row>
    <row r="8" customFormat="false" ht="23.85" hidden="false" customHeight="false" outlineLevel="0" collapsed="false">
      <c r="A8" s="2" t="s">
        <v>21</v>
      </c>
      <c r="B8" s="2" t="s">
        <v>22</v>
      </c>
      <c r="C8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8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76"/>
  </cols>
  <sheetData>
    <row r="1" customFormat="false" ht="23.85" hidden="false" customHeight="false" outlineLevel="0" collapsed="false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</row>
    <row r="2" customFormat="false" ht="15" hidden="false" customHeight="false" outlineLevel="0" collapsed="false">
      <c r="A2" s="2" t="s">
        <v>30</v>
      </c>
      <c r="B2" s="2" t="s">
        <v>31</v>
      </c>
      <c r="C2" s="4" t="s">
        <v>20</v>
      </c>
      <c r="D2" s="2" t="s">
        <v>20</v>
      </c>
      <c r="E2" s="2" t="str">
        <f aca="false">IF(C2=D2,"Identique","Modifié")</f>
        <v>Identique</v>
      </c>
      <c r="F2" s="2" t="s">
        <v>32</v>
      </c>
    </row>
    <row r="3" customFormat="false" ht="15" hidden="false" customHeight="false" outlineLevel="0" collapsed="false">
      <c r="A3" s="2" t="s">
        <v>33</v>
      </c>
      <c r="B3" s="2" t="s">
        <v>34</v>
      </c>
      <c r="C3" s="4" t="s">
        <v>20</v>
      </c>
      <c r="D3" s="2" t="s">
        <v>20</v>
      </c>
      <c r="E3" s="2" t="str">
        <f aca="false">IF(C3=D3,"Identique","Modifié")</f>
        <v>Identique</v>
      </c>
      <c r="F3" s="2" t="s">
        <v>35</v>
      </c>
    </row>
    <row r="4" customFormat="false" ht="15" hidden="false" customHeight="false" outlineLevel="0" collapsed="false">
      <c r="A4" s="2" t="s">
        <v>36</v>
      </c>
      <c r="B4" s="2" t="s">
        <v>37</v>
      </c>
      <c r="C4" s="5" t="s">
        <v>38</v>
      </c>
      <c r="D4" s="2" t="s">
        <v>38</v>
      </c>
      <c r="E4" s="2" t="str">
        <f aca="false">IF(C4=D4,"Identique","Modifié")</f>
        <v>Identique</v>
      </c>
      <c r="F4" s="2" t="s">
        <v>39</v>
      </c>
    </row>
    <row r="5" customFormat="false" ht="15" hidden="false" customHeight="false" outlineLevel="0" collapsed="false">
      <c r="A5" s="2" t="s">
        <v>40</v>
      </c>
      <c r="B5" s="2" t="s">
        <v>41</v>
      </c>
      <c r="C5" s="4" t="s">
        <v>20</v>
      </c>
      <c r="D5" s="2" t="s">
        <v>20</v>
      </c>
      <c r="E5" s="2" t="str">
        <f aca="false">IF(C5=D5,"Identique","Modifié")</f>
        <v>Identique</v>
      </c>
      <c r="F5" s="2" t="s">
        <v>42</v>
      </c>
    </row>
    <row r="6" customFormat="false" ht="15" hidden="false" customHeight="false" outlineLevel="0" collapsed="false">
      <c r="A6" s="2" t="s">
        <v>43</v>
      </c>
      <c r="B6" s="2" t="s">
        <v>44</v>
      </c>
      <c r="C6" s="4" t="s">
        <v>20</v>
      </c>
      <c r="D6" s="2" t="s">
        <v>20</v>
      </c>
      <c r="E6" s="2" t="str">
        <f aca="false">IF(C6=D6,"Identique","Modifié")</f>
        <v>Identique</v>
      </c>
      <c r="F6" s="2" t="s">
        <v>42</v>
      </c>
    </row>
    <row r="7" customFormat="false" ht="15" hidden="false" customHeight="false" outlineLevel="0" collapsed="false">
      <c r="A7" s="2" t="s">
        <v>45</v>
      </c>
      <c r="B7" s="2" t="s">
        <v>46</v>
      </c>
      <c r="C7" s="4" t="s">
        <v>20</v>
      </c>
      <c r="D7" s="2" t="s">
        <v>20</v>
      </c>
      <c r="E7" s="2" t="str">
        <f aca="false">IF(C7=D7,"Identique","Modifié")</f>
        <v>Identique</v>
      </c>
      <c r="F7" s="2" t="s">
        <v>47</v>
      </c>
    </row>
    <row r="8" customFormat="false" ht="15" hidden="false" customHeight="false" outlineLevel="0" collapsed="false">
      <c r="A8" s="2" t="s">
        <v>48</v>
      </c>
      <c r="B8" s="2" t="s">
        <v>49</v>
      </c>
      <c r="C8" s="4" t="s">
        <v>20</v>
      </c>
      <c r="D8" s="2" t="s">
        <v>20</v>
      </c>
      <c r="E8" s="2" t="str">
        <f aca="false">IF(C8=D8,"Identique","Modifié")</f>
        <v>Identique</v>
      </c>
      <c r="F8" s="2" t="s">
        <v>47</v>
      </c>
    </row>
    <row r="9" customFormat="false" ht="15" hidden="false" customHeight="false" outlineLevel="0" collapsed="false">
      <c r="A9" s="2" t="s">
        <v>50</v>
      </c>
      <c r="B9" s="2" t="s">
        <v>51</v>
      </c>
      <c r="C9" s="4" t="s">
        <v>20</v>
      </c>
      <c r="D9" s="2" t="s">
        <v>20</v>
      </c>
      <c r="E9" s="2" t="str">
        <f aca="false">IF(C9=D9,"Identique","Modifié")</f>
        <v>Identique</v>
      </c>
      <c r="F9" s="2" t="s">
        <v>52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4" t="s">
        <v>20</v>
      </c>
      <c r="D10" s="2" t="s">
        <v>20</v>
      </c>
      <c r="E10" s="2" t="str">
        <f aca="false">IF(C10=D10,"Identique","Modifié")</f>
        <v>Identique</v>
      </c>
      <c r="F10" s="2" t="s">
        <v>55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5" t="s">
        <v>38</v>
      </c>
      <c r="D11" s="2" t="s">
        <v>38</v>
      </c>
      <c r="E11" s="2" t="str">
        <f aca="false">IF(C11=D11,"Identique","Modifié")</f>
        <v>Identique</v>
      </c>
      <c r="F11" s="2" t="s">
        <v>58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5" t="s">
        <v>38</v>
      </c>
      <c r="D12" s="2" t="s">
        <v>38</v>
      </c>
      <c r="E12" s="2" t="str">
        <f aca="false">IF(C12=D12,"Identique","Modifié")</f>
        <v>Identique</v>
      </c>
      <c r="F12" s="2" t="s">
        <v>61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5" t="s">
        <v>38</v>
      </c>
      <c r="D13" s="2" t="s">
        <v>38</v>
      </c>
      <c r="E13" s="2" t="str">
        <f aca="false">IF(C13=D13,"Identique","Modifié")</f>
        <v>Identique</v>
      </c>
      <c r="F13" s="2" t="s">
        <v>61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5" t="s">
        <v>38</v>
      </c>
      <c r="D14" s="2" t="s">
        <v>38</v>
      </c>
      <c r="E14" s="2" t="str">
        <f aca="false">IF(C14=D14,"Identique","Modifié")</f>
        <v>Identique</v>
      </c>
      <c r="F14" s="2" t="s">
        <v>61</v>
      </c>
    </row>
    <row r="15" customFormat="false" ht="15" hidden="false" customHeight="false" outlineLevel="0" collapsed="false">
      <c r="A15" s="2" t="s">
        <v>66</v>
      </c>
      <c r="B15" s="2" t="s">
        <v>67</v>
      </c>
      <c r="C15" s="5" t="s">
        <v>38</v>
      </c>
      <c r="D15" s="2" t="s">
        <v>38</v>
      </c>
      <c r="E15" s="2" t="str">
        <f aca="false">IF(C15=D15,"Identique","Modifié")</f>
        <v>Identique</v>
      </c>
      <c r="F15" s="2" t="s">
        <v>61</v>
      </c>
    </row>
    <row r="16" customFormat="false" ht="15" hidden="false" customHeight="false" outlineLevel="0" collapsed="false">
      <c r="A16" s="2" t="s">
        <v>68</v>
      </c>
      <c r="B16" s="2" t="s">
        <v>69</v>
      </c>
      <c r="C16" s="6" t="s">
        <v>70</v>
      </c>
      <c r="D16" s="2" t="s">
        <v>38</v>
      </c>
      <c r="E16" s="2" t="str">
        <f aca="false">IF(C16=D16,"Identique","Modifié")</f>
        <v>Modifié</v>
      </c>
      <c r="F16" s="2" t="s">
        <v>71</v>
      </c>
    </row>
    <row r="17" customFormat="false" ht="15" hidden="false" customHeight="false" outlineLevel="0" collapsed="false">
      <c r="A17" s="2" t="s">
        <v>72</v>
      </c>
      <c r="B17" s="2" t="s">
        <v>73</v>
      </c>
      <c r="C17" s="6" t="s">
        <v>70</v>
      </c>
      <c r="D17" s="2" t="s">
        <v>38</v>
      </c>
      <c r="E17" s="2" t="str">
        <f aca="false">IF(C17=D17,"Identique","Modifié")</f>
        <v>Modifié</v>
      </c>
      <c r="F17" s="2" t="s">
        <v>71</v>
      </c>
    </row>
    <row r="18" customFormat="false" ht="15" hidden="false" customHeight="false" outlineLevel="0" collapsed="false">
      <c r="A18" s="2" t="s">
        <v>74</v>
      </c>
      <c r="B18" s="2" t="s">
        <v>75</v>
      </c>
      <c r="C18" s="6" t="s">
        <v>70</v>
      </c>
      <c r="D18" s="2" t="s">
        <v>38</v>
      </c>
      <c r="E18" s="2" t="str">
        <f aca="false">IF(C18=D18,"Identique","Modifié")</f>
        <v>Modifié</v>
      </c>
      <c r="F18" s="2" t="s">
        <v>71</v>
      </c>
    </row>
    <row r="19" customFormat="false" ht="15" hidden="false" customHeight="false" outlineLevel="0" collapsed="false">
      <c r="A19" s="2" t="s">
        <v>76</v>
      </c>
      <c r="B19" s="2" t="s">
        <v>77</v>
      </c>
      <c r="C19" s="6" t="s">
        <v>70</v>
      </c>
      <c r="D19" s="2" t="s">
        <v>38</v>
      </c>
      <c r="E19" s="2" t="str">
        <f aca="false">IF(C19=D19,"Identique","Modifié")</f>
        <v>Modifié</v>
      </c>
      <c r="F19" s="2" t="s">
        <v>71</v>
      </c>
    </row>
    <row r="20" customFormat="false" ht="15" hidden="false" customHeight="false" outlineLevel="0" collapsed="false">
      <c r="A20" s="2" t="s">
        <v>78</v>
      </c>
      <c r="B20" s="2" t="s">
        <v>79</v>
      </c>
      <c r="C20" s="6" t="s">
        <v>70</v>
      </c>
      <c r="D20" s="2" t="s">
        <v>38</v>
      </c>
      <c r="E20" s="2" t="str">
        <f aca="false">IF(C20=D20,"Identique","Modifié")</f>
        <v>Modifié</v>
      </c>
      <c r="F20" s="2" t="s">
        <v>71</v>
      </c>
    </row>
    <row r="21" customFormat="false" ht="15" hidden="false" customHeight="false" outlineLevel="0" collapsed="false">
      <c r="A21" s="2" t="s">
        <v>80</v>
      </c>
      <c r="B21" s="2" t="s">
        <v>81</v>
      </c>
      <c r="C21" s="6" t="s">
        <v>70</v>
      </c>
      <c r="D21" s="2" t="s">
        <v>38</v>
      </c>
      <c r="E21" s="2" t="str">
        <f aca="false">IF(C21=D21,"Identique","Modifié")</f>
        <v>Modifié</v>
      </c>
      <c r="F21" s="2" t="s">
        <v>71</v>
      </c>
    </row>
    <row r="22" customFormat="false" ht="15" hidden="false" customHeight="false" outlineLevel="0" collapsed="false">
      <c r="A22" s="2" t="s">
        <v>82</v>
      </c>
      <c r="B22" s="2" t="s">
        <v>83</v>
      </c>
      <c r="C22" s="6" t="s">
        <v>70</v>
      </c>
      <c r="D22" s="2" t="s">
        <v>38</v>
      </c>
      <c r="E22" s="2" t="str">
        <f aca="false">IF(C22=D22,"Identique","Modifié")</f>
        <v>Modifié</v>
      </c>
      <c r="F22" s="2" t="s">
        <v>71</v>
      </c>
    </row>
    <row r="23" customFormat="false" ht="15" hidden="false" customHeight="false" outlineLevel="0" collapsed="false">
      <c r="A23" s="2" t="s">
        <v>84</v>
      </c>
      <c r="B23" s="2" t="s">
        <v>85</v>
      </c>
      <c r="C23" s="6" t="s">
        <v>70</v>
      </c>
      <c r="D23" s="2" t="s">
        <v>38</v>
      </c>
      <c r="E23" s="2" t="str">
        <f aca="false">IF(C23=D23,"Identique","Modifié")</f>
        <v>Modifié</v>
      </c>
      <c r="F23" s="2" t="s">
        <v>71</v>
      </c>
    </row>
    <row r="24" customFormat="false" ht="15" hidden="false" customHeight="false" outlineLevel="0" collapsed="false">
      <c r="A24" s="2" t="s">
        <v>86</v>
      </c>
      <c r="B24" s="2" t="s">
        <v>87</v>
      </c>
      <c r="C24" s="6" t="s">
        <v>70</v>
      </c>
      <c r="D24" s="2" t="s">
        <v>38</v>
      </c>
      <c r="E24" s="2" t="str">
        <f aca="false">IF(C24=D24,"Identique","Modifié")</f>
        <v>Modifié</v>
      </c>
      <c r="F24" s="2" t="s">
        <v>71</v>
      </c>
    </row>
    <row r="25" customFormat="false" ht="15" hidden="false" customHeight="false" outlineLevel="0" collapsed="false">
      <c r="A25" s="2" t="s">
        <v>88</v>
      </c>
      <c r="B25" s="2" t="s">
        <v>89</v>
      </c>
      <c r="C25" s="6" t="s">
        <v>70</v>
      </c>
      <c r="D25" s="2" t="s">
        <v>38</v>
      </c>
      <c r="E25" s="2" t="str">
        <f aca="false">IF(C25=D25,"Identique","Modifié")</f>
        <v>Modifié</v>
      </c>
      <c r="F25" s="2" t="s">
        <v>71</v>
      </c>
    </row>
    <row r="26" customFormat="false" ht="15" hidden="false" customHeight="false" outlineLevel="0" collapsed="false">
      <c r="A26" s="2" t="s">
        <v>90</v>
      </c>
      <c r="B26" s="2" t="s">
        <v>91</v>
      </c>
      <c r="C26" s="6" t="s">
        <v>70</v>
      </c>
      <c r="D26" s="2" t="s">
        <v>70</v>
      </c>
      <c r="E26" s="2" t="str">
        <f aca="false">IF(C26=D26,"Identique","Modifié")</f>
        <v>Identique</v>
      </c>
      <c r="F26" s="2" t="s">
        <v>92</v>
      </c>
    </row>
    <row r="27" customFormat="false" ht="15" hidden="false" customHeight="false" outlineLevel="0" collapsed="false">
      <c r="A27" s="2" t="s">
        <v>93</v>
      </c>
      <c r="B27" s="2" t="s">
        <v>94</v>
      </c>
      <c r="C27" s="6" t="s">
        <v>70</v>
      </c>
      <c r="D27" s="2" t="s">
        <v>38</v>
      </c>
      <c r="E27" s="2" t="str">
        <f aca="false">IF(C27=D27,"Identique","Modifié")</f>
        <v>Modifié</v>
      </c>
      <c r="F27" s="2" t="s">
        <v>95</v>
      </c>
    </row>
    <row r="28" customFormat="false" ht="15" hidden="false" customHeight="false" outlineLevel="0" collapsed="false">
      <c r="A28" s="2" t="s">
        <v>96</v>
      </c>
      <c r="B28" s="2" t="s">
        <v>97</v>
      </c>
      <c r="C28" s="4" t="s">
        <v>20</v>
      </c>
      <c r="D28" s="2" t="s">
        <v>20</v>
      </c>
      <c r="E28" s="2" t="str">
        <f aca="false">IF(C28=D28,"Identique","Modifié")</f>
        <v>Identique</v>
      </c>
      <c r="F28" s="2" t="s">
        <v>98</v>
      </c>
    </row>
    <row r="29" customFormat="false" ht="15" hidden="false" customHeight="false" outlineLevel="0" collapsed="false">
      <c r="A29" s="2" t="s">
        <v>99</v>
      </c>
      <c r="B29" s="2" t="s">
        <v>100</v>
      </c>
      <c r="C29" s="6" t="s">
        <v>70</v>
      </c>
      <c r="D29" s="2" t="s">
        <v>38</v>
      </c>
      <c r="E29" s="2" t="str">
        <f aca="false">IF(C29=D29,"Identique","Modifié")</f>
        <v>Modifié</v>
      </c>
      <c r="F29" s="2" t="s">
        <v>92</v>
      </c>
    </row>
    <row r="30" customFormat="false" ht="15" hidden="false" customHeight="false" outlineLevel="0" collapsed="false">
      <c r="A30" s="2" t="s">
        <v>101</v>
      </c>
      <c r="B30" s="2" t="s">
        <v>102</v>
      </c>
      <c r="C30" s="6" t="s">
        <v>70</v>
      </c>
      <c r="D30" s="2" t="s">
        <v>38</v>
      </c>
      <c r="E30" s="2" t="str">
        <f aca="false">IF(C30=D30,"Identique","Modifié")</f>
        <v>Modifié</v>
      </c>
      <c r="F30" s="2" t="s">
        <v>103</v>
      </c>
    </row>
    <row r="31" customFormat="false" ht="15" hidden="false" customHeight="false" outlineLevel="0" collapsed="false">
      <c r="A31" s="2" t="s">
        <v>104</v>
      </c>
      <c r="B31" s="2" t="s">
        <v>105</v>
      </c>
      <c r="C31" s="6" t="s">
        <v>70</v>
      </c>
      <c r="D31" s="2" t="s">
        <v>38</v>
      </c>
      <c r="E31" s="2" t="str">
        <f aca="false">IF(C31=D31,"Identique","Modifié")</f>
        <v>Modifié</v>
      </c>
      <c r="F31" s="2" t="s">
        <v>106</v>
      </c>
    </row>
    <row r="32" customFormat="false" ht="15" hidden="false" customHeight="false" outlineLevel="0" collapsed="false">
      <c r="A32" s="2" t="s">
        <v>107</v>
      </c>
      <c r="B32" s="2" t="s">
        <v>108</v>
      </c>
      <c r="C32" s="6" t="s">
        <v>70</v>
      </c>
      <c r="D32" s="2" t="s">
        <v>38</v>
      </c>
      <c r="E32" s="2" t="str">
        <f aca="false">IF(C32=D32,"Identique","Modifié")</f>
        <v>Modifié</v>
      </c>
      <c r="F32" s="2" t="s">
        <v>106</v>
      </c>
    </row>
    <row r="33" customFormat="false" ht="15" hidden="false" customHeight="false" outlineLevel="0" collapsed="false">
      <c r="A33" s="2" t="s">
        <v>109</v>
      </c>
      <c r="B33" s="2" t="s">
        <v>110</v>
      </c>
      <c r="C33" s="6" t="s">
        <v>70</v>
      </c>
      <c r="D33" s="2" t="s">
        <v>38</v>
      </c>
      <c r="E33" s="2" t="str">
        <f aca="false">IF(C33=D33,"Identique","Modifié")</f>
        <v>Modifié</v>
      </c>
      <c r="F33" s="2" t="s">
        <v>111</v>
      </c>
    </row>
    <row r="34" customFormat="false" ht="15" hidden="false" customHeight="false" outlineLevel="0" collapsed="false">
      <c r="A34" s="2" t="s">
        <v>112</v>
      </c>
      <c r="B34" s="2" t="s">
        <v>113</v>
      </c>
      <c r="C34" s="6" t="s">
        <v>70</v>
      </c>
      <c r="D34" s="2" t="s">
        <v>38</v>
      </c>
      <c r="E34" s="2" t="str">
        <f aca="false">IF(C34=D34,"Identique","Modifié")</f>
        <v>Modifié</v>
      </c>
      <c r="F34" s="2" t="s">
        <v>106</v>
      </c>
    </row>
    <row r="35" customFormat="false" ht="23.85" hidden="false" customHeight="false" outlineLevel="0" collapsed="false">
      <c r="A35" s="2" t="s">
        <v>114</v>
      </c>
      <c r="B35" s="2" t="s">
        <v>115</v>
      </c>
      <c r="C35" s="6" t="s">
        <v>70</v>
      </c>
      <c r="D35" s="2" t="s">
        <v>38</v>
      </c>
      <c r="E35" s="2" t="str">
        <f aca="false">IF(C35=D35,"Identique","Modifié")</f>
        <v>Modifié</v>
      </c>
      <c r="F35" s="2" t="s">
        <v>106</v>
      </c>
    </row>
    <row r="36" customFormat="false" ht="23.85" hidden="false" customHeight="false" outlineLevel="0" collapsed="false">
      <c r="A36" s="2" t="s">
        <v>116</v>
      </c>
      <c r="B36" s="2" t="s">
        <v>117</v>
      </c>
      <c r="C36" s="6" t="s">
        <v>70</v>
      </c>
      <c r="D36" s="2" t="s">
        <v>38</v>
      </c>
      <c r="E36" s="2" t="str">
        <f aca="false">IF(C36=D36,"Identique","Modifié")</f>
        <v>Modifié</v>
      </c>
      <c r="F36" s="2" t="s">
        <v>106</v>
      </c>
    </row>
    <row r="37" customFormat="false" ht="23.85" hidden="false" customHeight="false" outlineLevel="0" collapsed="false">
      <c r="A37" s="2" t="s">
        <v>118</v>
      </c>
      <c r="B37" s="2" t="s">
        <v>119</v>
      </c>
      <c r="C37" s="6" t="s">
        <v>70</v>
      </c>
      <c r="D37" s="2" t="s">
        <v>38</v>
      </c>
      <c r="E37" s="2" t="str">
        <f aca="false">IF(C37=D37,"Identique","Modifié")</f>
        <v>Modifié</v>
      </c>
      <c r="F37" s="2" t="s">
        <v>103</v>
      </c>
    </row>
    <row r="38" customFormat="false" ht="23.85" hidden="false" customHeight="false" outlineLevel="0" collapsed="false">
      <c r="A38" s="2" t="s">
        <v>120</v>
      </c>
      <c r="B38" s="2" t="s">
        <v>121</v>
      </c>
      <c r="C38" s="6" t="s">
        <v>70</v>
      </c>
      <c r="D38" s="2" t="s">
        <v>38</v>
      </c>
      <c r="E38" s="2" t="str">
        <f aca="false">IF(C38=D38,"Identique","Modifié")</f>
        <v>Modifié</v>
      </c>
      <c r="F38" s="2" t="s">
        <v>103</v>
      </c>
    </row>
    <row r="39" customFormat="false" ht="23.85" hidden="false" customHeight="false" outlineLevel="0" collapsed="false">
      <c r="A39" s="2" t="s">
        <v>122</v>
      </c>
      <c r="B39" s="2" t="s">
        <v>123</v>
      </c>
      <c r="C39" s="6" t="s">
        <v>70</v>
      </c>
      <c r="D39" s="2" t="s">
        <v>38</v>
      </c>
      <c r="E39" s="2" t="str">
        <f aca="false">IF(C39=D39,"Identique","Modifié")</f>
        <v>Modifié</v>
      </c>
      <c r="F39" s="2" t="s">
        <v>106</v>
      </c>
    </row>
    <row r="40" customFormat="false" ht="23.85" hidden="false" customHeight="false" outlineLevel="0" collapsed="false">
      <c r="A40" s="2" t="s">
        <v>124</v>
      </c>
      <c r="B40" s="2" t="s">
        <v>125</v>
      </c>
      <c r="C40" s="6" t="s">
        <v>70</v>
      </c>
      <c r="D40" s="2" t="s">
        <v>38</v>
      </c>
      <c r="E40" s="2" t="str">
        <f aca="false">IF(C40=D40,"Identique","Modifié")</f>
        <v>Modifié</v>
      </c>
      <c r="F40" s="2" t="s">
        <v>106</v>
      </c>
    </row>
    <row r="41" customFormat="false" ht="23.85" hidden="false" customHeight="false" outlineLevel="0" collapsed="false">
      <c r="A41" s="2" t="s">
        <v>126</v>
      </c>
      <c r="B41" s="2" t="s">
        <v>127</v>
      </c>
      <c r="C41" s="6" t="s">
        <v>70</v>
      </c>
      <c r="D41" s="2" t="s">
        <v>38</v>
      </c>
      <c r="E41" s="2" t="str">
        <f aca="false">IF(C41=D41,"Identique","Modifié")</f>
        <v>Modifié</v>
      </c>
      <c r="F41" s="2" t="s">
        <v>106</v>
      </c>
    </row>
    <row r="42" customFormat="false" ht="15" hidden="false" customHeight="false" outlineLevel="0" collapsed="false">
      <c r="A42" s="2" t="s">
        <v>128</v>
      </c>
      <c r="B42" s="2" t="s">
        <v>129</v>
      </c>
      <c r="C42" s="6" t="s">
        <v>70</v>
      </c>
      <c r="D42" s="2" t="s">
        <v>38</v>
      </c>
      <c r="E42" s="2" t="str">
        <f aca="false">IF(C42=D42,"Identique","Modifié")</f>
        <v>Modifié</v>
      </c>
      <c r="F42" s="2" t="s">
        <v>106</v>
      </c>
    </row>
    <row r="43" customFormat="false" ht="15" hidden="false" customHeight="false" outlineLevel="0" collapsed="false">
      <c r="A43" s="2" t="s">
        <v>130</v>
      </c>
      <c r="B43" s="2" t="s">
        <v>131</v>
      </c>
      <c r="C43" s="6" t="s">
        <v>70</v>
      </c>
      <c r="D43" s="2" t="s">
        <v>38</v>
      </c>
      <c r="E43" s="2" t="str">
        <f aca="false">IF(C43=D43,"Identique","Modifié")</f>
        <v>Modifié</v>
      </c>
      <c r="F43" s="2" t="s">
        <v>92</v>
      </c>
    </row>
    <row r="44" customFormat="false" ht="15" hidden="false" customHeight="false" outlineLevel="0" collapsed="false">
      <c r="A44" s="2" t="s">
        <v>132</v>
      </c>
      <c r="B44" s="2" t="s">
        <v>133</v>
      </c>
      <c r="C44" s="6" t="s">
        <v>70</v>
      </c>
      <c r="D44" s="2" t="s">
        <v>38</v>
      </c>
      <c r="E44" s="2" t="str">
        <f aca="false">IF(C44=D44,"Identique","Modifié")</f>
        <v>Modifié</v>
      </c>
      <c r="F44" s="2" t="s">
        <v>92</v>
      </c>
    </row>
    <row r="45" customFormat="false" ht="15" hidden="false" customHeight="false" outlineLevel="0" collapsed="false">
      <c r="A45" s="2" t="s">
        <v>134</v>
      </c>
      <c r="B45" s="2" t="s">
        <v>135</v>
      </c>
      <c r="C45" s="6" t="s">
        <v>70</v>
      </c>
      <c r="D45" s="2" t="s">
        <v>38</v>
      </c>
      <c r="E45" s="2" t="str">
        <f aca="false">IF(C45=D45,"Identique","Modifié")</f>
        <v>Modifié</v>
      </c>
      <c r="F45" s="2" t="s">
        <v>136</v>
      </c>
    </row>
    <row r="46" customFormat="false" ht="15" hidden="false" customHeight="false" outlineLevel="0" collapsed="false">
      <c r="A46" s="2" t="s">
        <v>137</v>
      </c>
      <c r="B46" s="2" t="s">
        <v>138</v>
      </c>
      <c r="C46" s="6" t="s">
        <v>70</v>
      </c>
      <c r="D46" s="2" t="s">
        <v>38</v>
      </c>
      <c r="E46" s="2" t="str">
        <f aca="false">IF(C46=D46,"Identique","Modifié")</f>
        <v>Modifié</v>
      </c>
      <c r="F46" s="2" t="s">
        <v>139</v>
      </c>
    </row>
    <row r="47" customFormat="false" ht="15" hidden="false" customHeight="false" outlineLevel="0" collapsed="false">
      <c r="A47" s="2" t="s">
        <v>140</v>
      </c>
      <c r="B47" s="2" t="s">
        <v>141</v>
      </c>
      <c r="C47" s="6" t="s">
        <v>70</v>
      </c>
      <c r="D47" s="2" t="s">
        <v>38</v>
      </c>
      <c r="E47" s="2" t="str">
        <f aca="false">IF(C47=D47,"Identique","Modifié")</f>
        <v>Modifié</v>
      </c>
      <c r="F47" s="2" t="s">
        <v>136</v>
      </c>
    </row>
    <row r="48" customFormat="false" ht="15" hidden="false" customHeight="false" outlineLevel="0" collapsed="false">
      <c r="A48" s="2" t="s">
        <v>142</v>
      </c>
      <c r="B48" s="2" t="s">
        <v>143</v>
      </c>
      <c r="C48" s="6" t="s">
        <v>70</v>
      </c>
      <c r="D48" s="2" t="s">
        <v>38</v>
      </c>
      <c r="E48" s="2" t="str">
        <f aca="false">IF(C48=D48,"Identique","Modifié")</f>
        <v>Modifié</v>
      </c>
      <c r="F48" s="2" t="s">
        <v>144</v>
      </c>
    </row>
    <row r="49" customFormat="false" ht="15" hidden="false" customHeight="false" outlineLevel="0" collapsed="false">
      <c r="A49" s="2" t="s">
        <v>145</v>
      </c>
      <c r="B49" s="2" t="s">
        <v>146</v>
      </c>
      <c r="C49" s="6" t="s">
        <v>70</v>
      </c>
      <c r="D49" s="2" t="s">
        <v>38</v>
      </c>
      <c r="E49" s="2" t="str">
        <f aca="false">IF(C49=D49,"Identique","Modifié")</f>
        <v>Modifié</v>
      </c>
      <c r="F49" s="2" t="s">
        <v>144</v>
      </c>
    </row>
    <row r="50" customFormat="false" ht="15" hidden="false" customHeight="false" outlineLevel="0" collapsed="false">
      <c r="A50" s="2" t="s">
        <v>147</v>
      </c>
      <c r="B50" s="2" t="s">
        <v>148</v>
      </c>
      <c r="C50" s="6" t="s">
        <v>70</v>
      </c>
      <c r="D50" s="2" t="s">
        <v>38</v>
      </c>
      <c r="E50" s="2" t="str">
        <f aca="false">IF(C50=D50,"Identique","Modifié")</f>
        <v>Modifié</v>
      </c>
      <c r="F50" s="2" t="s">
        <v>144</v>
      </c>
    </row>
    <row r="51" customFormat="false" ht="15" hidden="false" customHeight="false" outlineLevel="0" collapsed="false">
      <c r="A51" s="2" t="s">
        <v>149</v>
      </c>
      <c r="B51" s="2" t="s">
        <v>150</v>
      </c>
      <c r="C51" s="6" t="s">
        <v>70</v>
      </c>
      <c r="D51" s="2" t="s">
        <v>38</v>
      </c>
      <c r="E51" s="2" t="str">
        <f aca="false">IF(C51=D51,"Identique","Modifié")</f>
        <v>Modifié</v>
      </c>
      <c r="F51" s="2" t="s">
        <v>144</v>
      </c>
    </row>
    <row r="52" customFormat="false" ht="15" hidden="false" customHeight="false" outlineLevel="0" collapsed="false">
      <c r="A52" s="2" t="s">
        <v>151</v>
      </c>
      <c r="B52" s="2" t="s">
        <v>152</v>
      </c>
      <c r="C52" s="6" t="s">
        <v>70</v>
      </c>
      <c r="D52" s="2" t="s">
        <v>38</v>
      </c>
      <c r="E52" s="2" t="str">
        <f aca="false">IF(C52=D52,"Identique","Modifié")</f>
        <v>Modifié</v>
      </c>
      <c r="F52" s="2" t="s">
        <v>144</v>
      </c>
    </row>
    <row r="53" customFormat="false" ht="15" hidden="false" customHeight="false" outlineLevel="0" collapsed="false">
      <c r="A53" s="2" t="s">
        <v>153</v>
      </c>
      <c r="B53" s="2" t="s">
        <v>154</v>
      </c>
      <c r="C53" s="6" t="s">
        <v>70</v>
      </c>
      <c r="D53" s="2" t="s">
        <v>38</v>
      </c>
      <c r="E53" s="2" t="str">
        <f aca="false">IF(C53=D53,"Identique","Modifié")</f>
        <v>Modifié</v>
      </c>
      <c r="F53" s="2" t="s">
        <v>155</v>
      </c>
    </row>
    <row r="54" customFormat="false" ht="15" hidden="false" customHeight="false" outlineLevel="0" collapsed="false">
      <c r="A54" s="2" t="s">
        <v>156</v>
      </c>
      <c r="B54" s="2" t="s">
        <v>157</v>
      </c>
      <c r="C54" s="6" t="s">
        <v>70</v>
      </c>
      <c r="D54" s="2" t="s">
        <v>38</v>
      </c>
      <c r="E54" s="2" t="str">
        <f aca="false">IF(C54=D54,"Identique","Modifié")</f>
        <v>Modifié</v>
      </c>
      <c r="F54" s="2" t="s">
        <v>155</v>
      </c>
    </row>
    <row r="55" customFormat="false" ht="15" hidden="false" customHeight="false" outlineLevel="0" collapsed="false">
      <c r="A55" s="2" t="s">
        <v>158</v>
      </c>
      <c r="B55" s="2" t="s">
        <v>159</v>
      </c>
      <c r="C55" s="6" t="s">
        <v>70</v>
      </c>
      <c r="D55" s="2" t="s">
        <v>38</v>
      </c>
      <c r="E55" s="2" t="str">
        <f aca="false">IF(C55=D55,"Identique","Modifié")</f>
        <v>Modifié</v>
      </c>
      <c r="F55" s="2" t="s">
        <v>160</v>
      </c>
    </row>
    <row r="56" customFormat="false" ht="15" hidden="false" customHeight="false" outlineLevel="0" collapsed="false">
      <c r="A56" s="2" t="s">
        <v>161</v>
      </c>
      <c r="B56" s="2" t="s">
        <v>162</v>
      </c>
      <c r="C56" s="6" t="s">
        <v>70</v>
      </c>
      <c r="D56" s="2" t="s">
        <v>70</v>
      </c>
      <c r="E56" s="2" t="str">
        <f aca="false">IF(C56=D56,"Identique","Modifié")</f>
        <v>Identique</v>
      </c>
      <c r="F56" s="2" t="s">
        <v>160</v>
      </c>
    </row>
    <row r="57" customFormat="false" ht="15" hidden="false" customHeight="false" outlineLevel="0" collapsed="false">
      <c r="A57" s="2" t="s">
        <v>163</v>
      </c>
      <c r="B57" s="2" t="s">
        <v>164</v>
      </c>
      <c r="C57" s="6" t="s">
        <v>70</v>
      </c>
      <c r="D57" s="2" t="s">
        <v>38</v>
      </c>
      <c r="E57" s="2" t="str">
        <f aca="false">IF(C57=D57,"Identique","Modifié")</f>
        <v>Modifié</v>
      </c>
      <c r="F57" s="2" t="s">
        <v>160</v>
      </c>
    </row>
    <row r="58" customFormat="false" ht="15" hidden="false" customHeight="false" outlineLevel="0" collapsed="false">
      <c r="A58" s="2" t="s">
        <v>165</v>
      </c>
      <c r="B58" s="2" t="s">
        <v>166</v>
      </c>
      <c r="C58" s="6" t="s">
        <v>70</v>
      </c>
      <c r="D58" s="2" t="s">
        <v>38</v>
      </c>
      <c r="E58" s="2" t="str">
        <f aca="false">IF(C58=D58,"Identique","Modifié")</f>
        <v>Modifié</v>
      </c>
      <c r="F58" s="2" t="s">
        <v>167</v>
      </c>
    </row>
    <row r="59" customFormat="false" ht="15" hidden="false" customHeight="false" outlineLevel="0" collapsed="false">
      <c r="A59" s="2" t="s">
        <v>168</v>
      </c>
      <c r="B59" s="2" t="s">
        <v>169</v>
      </c>
      <c r="C59" s="6" t="s">
        <v>70</v>
      </c>
      <c r="D59" s="2" t="s">
        <v>38</v>
      </c>
      <c r="E59" s="2" t="str">
        <f aca="false">IF(C59=D59,"Identique","Modifié")</f>
        <v>Modifié</v>
      </c>
      <c r="F59" s="2" t="s">
        <v>167</v>
      </c>
    </row>
    <row r="60" customFormat="false" ht="15" hidden="false" customHeight="false" outlineLevel="0" collapsed="false">
      <c r="A60" s="2" t="s">
        <v>170</v>
      </c>
      <c r="B60" s="2" t="s">
        <v>171</v>
      </c>
      <c r="C60" s="6" t="s">
        <v>70</v>
      </c>
      <c r="D60" s="2" t="s">
        <v>38</v>
      </c>
      <c r="E60" s="2" t="str">
        <f aca="false">IF(C60=D60,"Identique","Modifié")</f>
        <v>Modifié</v>
      </c>
      <c r="F60" s="2" t="s">
        <v>167</v>
      </c>
    </row>
    <row r="61" customFormat="false" ht="15" hidden="false" customHeight="false" outlineLevel="0" collapsed="false">
      <c r="A61" s="2" t="s">
        <v>172</v>
      </c>
      <c r="B61" s="2" t="s">
        <v>173</v>
      </c>
      <c r="C61" s="6" t="s">
        <v>70</v>
      </c>
      <c r="D61" s="2" t="s">
        <v>38</v>
      </c>
      <c r="E61" s="2" t="str">
        <f aca="false">IF(C61=D61,"Identique","Modifié")</f>
        <v>Modifié</v>
      </c>
      <c r="F61" s="2" t="s">
        <v>167</v>
      </c>
    </row>
    <row r="62" customFormat="false" ht="15" hidden="false" customHeight="false" outlineLevel="0" collapsed="false">
      <c r="A62" s="2" t="s">
        <v>174</v>
      </c>
      <c r="B62" s="2" t="s">
        <v>175</v>
      </c>
      <c r="C62" s="6" t="s">
        <v>70</v>
      </c>
      <c r="D62" s="2" t="s">
        <v>38</v>
      </c>
      <c r="E62" s="2" t="str">
        <f aca="false">IF(C62=D62,"Identique","Modifié")</f>
        <v>Modifié</v>
      </c>
      <c r="F62" s="2" t="s">
        <v>167</v>
      </c>
    </row>
    <row r="63" customFormat="false" ht="15" hidden="false" customHeight="false" outlineLevel="0" collapsed="false">
      <c r="A63" s="2" t="s">
        <v>176</v>
      </c>
      <c r="B63" s="2" t="s">
        <v>177</v>
      </c>
      <c r="C63" s="6" t="s">
        <v>70</v>
      </c>
      <c r="D63" s="2" t="s">
        <v>38</v>
      </c>
      <c r="E63" s="2" t="str">
        <f aca="false">IF(C63=D63,"Identique","Modifié")</f>
        <v>Modifié</v>
      </c>
      <c r="F63" s="2" t="s">
        <v>167</v>
      </c>
    </row>
    <row r="64" customFormat="false" ht="15" hidden="false" customHeight="false" outlineLevel="0" collapsed="false">
      <c r="A64" s="2" t="s">
        <v>178</v>
      </c>
      <c r="B64" s="2" t="s">
        <v>179</v>
      </c>
      <c r="C64" s="6" t="s">
        <v>70</v>
      </c>
      <c r="D64" s="2" t="s">
        <v>38</v>
      </c>
      <c r="E64" s="2" t="str">
        <f aca="false">IF(C64=D64,"Identique","Modifié")</f>
        <v>Modifié</v>
      </c>
      <c r="F64" s="2" t="s">
        <v>167</v>
      </c>
    </row>
    <row r="65" customFormat="false" ht="15" hidden="false" customHeight="false" outlineLevel="0" collapsed="false">
      <c r="A65" s="2" t="s">
        <v>180</v>
      </c>
      <c r="B65" s="2" t="s">
        <v>181</v>
      </c>
      <c r="C65" s="6" t="s">
        <v>70</v>
      </c>
      <c r="D65" s="2" t="s">
        <v>38</v>
      </c>
      <c r="E65" s="2" t="str">
        <f aca="false">IF(C65=D65,"Identique","Modifié")</f>
        <v>Modifié</v>
      </c>
      <c r="F65" s="2" t="s">
        <v>167</v>
      </c>
    </row>
    <row r="66" customFormat="false" ht="15" hidden="false" customHeight="false" outlineLevel="0" collapsed="false">
      <c r="A66" s="2" t="s">
        <v>182</v>
      </c>
      <c r="B66" s="2" t="s">
        <v>183</v>
      </c>
      <c r="C66" s="4" t="s">
        <v>20</v>
      </c>
      <c r="D66" s="2" t="s">
        <v>20</v>
      </c>
      <c r="E66" s="2" t="str">
        <f aca="false">IF(C66=D66,"Identique","Modifié")</f>
        <v>Identique</v>
      </c>
      <c r="F66" s="2" t="s">
        <v>184</v>
      </c>
    </row>
    <row r="67" customFormat="false" ht="15" hidden="false" customHeight="false" outlineLevel="0" collapsed="false">
      <c r="A67" s="2" t="s">
        <v>185</v>
      </c>
      <c r="B67" s="2" t="s">
        <v>186</v>
      </c>
      <c r="C67" s="4" t="s">
        <v>20</v>
      </c>
      <c r="D67" s="2" t="s">
        <v>20</v>
      </c>
      <c r="E67" s="2" t="str">
        <f aca="false">IF(C67=D67,"Identique","Modifié")</f>
        <v>Identique</v>
      </c>
      <c r="F67" s="2" t="s">
        <v>187</v>
      </c>
    </row>
    <row r="68" customFormat="false" ht="15" hidden="false" customHeight="false" outlineLevel="0" collapsed="false">
      <c r="A68" s="2" t="s">
        <v>188</v>
      </c>
      <c r="B68" s="2" t="s">
        <v>189</v>
      </c>
      <c r="C68" s="4" t="s">
        <v>20</v>
      </c>
      <c r="D68" s="2" t="s">
        <v>20</v>
      </c>
      <c r="E68" s="2" t="str">
        <f aca="false">IF(C68=D68,"Identique","Modifié")</f>
        <v>Identique</v>
      </c>
      <c r="F68" s="2" t="s">
        <v>190</v>
      </c>
    </row>
  </sheetData>
  <autoFilter ref="A1:F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" t="s">
        <v>191</v>
      </c>
      <c r="B1" s="1" t="s">
        <v>192</v>
      </c>
      <c r="C1" s="1" t="s">
        <v>193</v>
      </c>
    </row>
    <row r="2" customFormat="false" ht="15" hidden="false" customHeight="false" outlineLevel="0" collapsed="false">
      <c r="A2" s="7" t="s">
        <v>38</v>
      </c>
      <c r="B2" s="7" t="n">
        <f aca="false">COUNTIF(ROLES_CDC!$C$2:$C$68,A2)</f>
        <v>6</v>
      </c>
      <c r="C2" s="7" t="n">
        <f aca="false">COUNTIF(ROLES_CDC!$D$2:$D$68,A2)</f>
        <v>53</v>
      </c>
    </row>
    <row r="3" customFormat="false" ht="15" hidden="false" customHeight="false" outlineLevel="0" collapsed="false">
      <c r="A3" s="7" t="s">
        <v>70</v>
      </c>
      <c r="B3" s="7" t="n">
        <f aca="false">COUNTIF(ROLES_CDC!$C$2:$C$68,A3)</f>
        <v>49</v>
      </c>
      <c r="C3" s="7" t="n">
        <f aca="false">COUNTIF(ROLES_CDC!$D$2:$D$68,A3)</f>
        <v>2</v>
      </c>
    </row>
    <row r="4" customFormat="false" ht="15" hidden="false" customHeight="false" outlineLevel="0" collapsed="false">
      <c r="A4" s="7" t="s">
        <v>194</v>
      </c>
      <c r="B4" s="7" t="n">
        <f aca="false">COUNTIF(ROLES_CDC!$C$2:$C$68,A4)</f>
        <v>0</v>
      </c>
      <c r="C4" s="7" t="n">
        <f aca="false">COUNTIF(ROLES_CDC!$D$2:$D$68,A4)</f>
        <v>0</v>
      </c>
    </row>
    <row r="5" customFormat="false" ht="15" hidden="false" customHeight="false" outlineLevel="0" collapsed="false">
      <c r="A5" s="7" t="s">
        <v>20</v>
      </c>
      <c r="B5" s="7" t="n">
        <f aca="false">COUNTIF(ROLES_CDC!$C$2:$C$68,A5)</f>
        <v>12</v>
      </c>
      <c r="C5" s="7" t="n">
        <f aca="false">COUNTIF(ROLES_CDC!$D$2:$D$68,A5)</f>
        <v>12</v>
      </c>
    </row>
    <row r="6" customFormat="false" ht="15" hidden="false" customHeight="false" outlineLevel="0" collapsed="false">
      <c r="A6" s="7" t="s">
        <v>195</v>
      </c>
      <c r="B6" s="7" t="n">
        <f aca="false">COUNTIF(ROLES_CDC!$C$2:$C$68,A6)</f>
        <v>0</v>
      </c>
      <c r="C6" s="7" t="n">
        <f aca="false">COUNTIF(ROLES_CDC!$D$2:$D$68,A6)</f>
        <v>0</v>
      </c>
    </row>
    <row r="7" customFormat="false" ht="15" hidden="false" customHeight="false" outlineLevel="0" collapsed="false">
      <c r="A7" s="7" t="s">
        <v>196</v>
      </c>
      <c r="B7" s="7" t="n">
        <f aca="false">COUNTIF(ROLES_CDC!$C$2:$C$68,A7)</f>
        <v>0</v>
      </c>
      <c r="C7" s="7" t="n">
        <f aca="false">COUNTIF(ROLES_CDC!$D$2:$D$68,A7)</f>
        <v>0</v>
      </c>
    </row>
    <row r="8" customFormat="false" ht="15" hidden="false" customHeight="false" outlineLevel="0" collapsed="false">
      <c r="A8" s="8" t="s">
        <v>197</v>
      </c>
      <c r="B8" s="8" t="n">
        <f aca="false">SUM(B2:B7)</f>
        <v>67</v>
      </c>
      <c r="C8" s="8" t="n">
        <f aca="false">SUM(C2:C7)</f>
        <v>67</v>
      </c>
    </row>
    <row r="9" customFormat="false" ht="15" hidden="false" customHeight="false" outlineLevel="0" collapsed="false">
      <c r="A9" s="7"/>
      <c r="B9" s="7"/>
      <c r="C9" s="7"/>
    </row>
    <row r="10" customFormat="false" ht="15" hidden="false" customHeight="false" outlineLevel="0" collapsed="false">
      <c r="A10" s="7" t="s">
        <v>198</v>
      </c>
      <c r="B10" s="7" t="n">
        <f aca="false">COUNTIF(ROLES_CDC!$E$2:$E$68,"Modifié")</f>
        <v>47</v>
      </c>
      <c r="C10" s="7"/>
    </row>
    <row r="11" customFormat="false" ht="15" hidden="false" customHeight="false" outlineLevel="0" collapsed="false">
      <c r="A11" s="7" t="s">
        <v>199</v>
      </c>
      <c r="B11" s="7" t="n">
        <f aca="false">COUNTIF(ROLES_CDC!$E$2:$E$68,"Identique")</f>
        <v>20</v>
      </c>
      <c r="C1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2026-10-09T17:59:01Z</dcterms:created>
  <dc:creator>openpyxl</dc:creator>
  <dc:description/>
  <dc:language>en-US</dc:language>
  <cp:lastModifiedBy/>
  <dcterms:modified xsi:type="dcterms:W3CDTF">2026-10-09T17:59:01Z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